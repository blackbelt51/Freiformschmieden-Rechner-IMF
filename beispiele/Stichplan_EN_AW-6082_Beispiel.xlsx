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ichplan" sheetId="1" state="visible" r:id="rId1"/>
    <sheet name="Details" sheetId="2" state="visible" r:id="rId2"/>
    <sheet name="Parameter" sheetId="3" state="visible" r:id="rId3"/>
    <sheet name="Diagrammdaten" sheetId="4" state="visible" r:id="rId4"/>
  </sheets>
  <definedNames>
    <definedName name="_xlnm.Print_Area" localSheetId="0">'Stichplan'!$A$1:$R$48</definedName>
    <definedName name="_xlnm.Print_Titles" localSheetId="1">'Details'!$4:$5</definedName>
    <definedName name="_xlnm.Print_Area" localSheetId="1">'Details'!$A$1:$AE$12</definedName>
    <definedName name="_xlnm.Print_Area" localSheetId="2">'Parameter'!$A$1:$D$74</definedName>
    <definedName name="_xlnm.Print_Area" localSheetId="3">'Diagrammdaten'!$A$1:$O$703</definedName>
  </definedNames>
  <calcPr calcId="124519" fullCalcOnLoad="1"/>
</workbook>
</file>

<file path=xl/styles.xml><?xml version="1.0" encoding="utf-8"?>
<styleSheet xmlns="http://schemas.openxmlformats.org/spreadsheetml/2006/main">
  <numFmts count="8">
    <numFmt numFmtId="164" formatCode="0.0"/>
    <numFmt numFmtId="165" formatCode="0.000"/>
    <numFmt numFmtId="166" formatCode="0.00&quot; : 1&quot;"/>
    <numFmt numFmtId="167" formatCode="0.0&quot; min&quot;"/>
    <numFmt numFmtId="168" formatCode="0&quot; °C&quot;"/>
    <numFmt numFmtId="169" formatCode="0.00&quot; MN&quot;"/>
    <numFmt numFmtId="170" formatCode="+0.0;−0.0;0.0"/>
    <numFmt numFmtId="171" formatCode="0.0000"/>
  </numFmts>
  <fonts count="18">
    <font>
      <name val="Calibri"/>
      <family val="2"/>
      <color theme="1"/>
      <sz val="11"/>
      <scheme val="minor"/>
    </font>
    <font>
      <name val="Arial"/>
      <b val="1"/>
      <color rgb="001C2833"/>
      <sz val="14"/>
    </font>
    <font>
      <name val="Arial"/>
      <color rgb="005A6774"/>
      <sz val="9"/>
    </font>
    <font>
      <name val="Arial"/>
      <b val="1"/>
      <color rgb="001C2833"/>
      <sz val="9"/>
    </font>
    <font>
      <name val="Arial"/>
      <color rgb="001C2833"/>
      <sz val="9"/>
    </font>
    <font>
      <name val="Arial"/>
      <b val="1"/>
      <color rgb="001C2833"/>
      <sz val="18"/>
    </font>
    <font>
      <name val="Arial"/>
      <color rgb="005A6774"/>
      <sz val="9.5"/>
    </font>
    <font>
      <name val="Arial"/>
      <color rgb="001C2833"/>
      <sz val="10"/>
    </font>
    <font>
      <name val="Arial"/>
      <b val="1"/>
      <color rgb="00D24E17"/>
      <sz val="18"/>
    </font>
    <font>
      <name val="Arial"/>
      <b val="1"/>
      <color rgb="005A6774"/>
      <sz val="9"/>
    </font>
    <font>
      <name val="Arial"/>
      <b val="1"/>
      <color rgb="005A6774"/>
      <sz val="10"/>
    </font>
    <font>
      <name val="Arial"/>
      <color rgb="001F5FBF"/>
      <sz val="10"/>
    </font>
    <font>
      <name val="Arial"/>
      <color rgb="005A6774"/>
      <sz val="10"/>
    </font>
    <font>
      <name val="Arial"/>
      <b val="1"/>
      <color rgb="001C2833"/>
      <sz val="10"/>
    </font>
    <font>
      <name val="Arial"/>
      <b val="1"/>
      <color rgb="008A5200"/>
      <sz val="10"/>
    </font>
    <font>
      <name val="Arial"/>
      <color rgb="005A6774"/>
      <sz val="8.5"/>
    </font>
    <font>
      <name val="Arial"/>
      <b val="1"/>
      <color rgb="001C2833"/>
      <sz val="12"/>
    </font>
    <font>
      <name val="Arial"/>
      <color rgb="001C2833"/>
      <sz val="9.5"/>
    </font>
  </fonts>
  <fills count="6">
    <fill>
      <patternFill/>
    </fill>
    <fill>
      <patternFill patternType="gray125"/>
    </fill>
    <fill>
      <patternFill patternType="solid">
        <fgColor rgb="00E1E6EA"/>
        <bgColor rgb="00E1E6EA"/>
      </patternFill>
    </fill>
    <fill>
      <patternFill patternType="solid">
        <fgColor rgb="00EDF0F2"/>
        <bgColor rgb="00EDF0F2"/>
      </patternFill>
    </fill>
    <fill>
      <patternFill patternType="solid">
        <fgColor rgb="00F6F8F9"/>
        <bgColor rgb="00F6F8F9"/>
      </patternFill>
    </fill>
    <fill>
      <patternFill patternType="solid">
        <fgColor rgb="00FBEFD6"/>
        <bgColor rgb="00FBEFD6"/>
      </patternFill>
    </fill>
  </fills>
  <borders count="8">
    <border>
      <left/>
      <right/>
      <top/>
      <bottom/>
      <diagonal/>
    </border>
    <border>
      <bottom style="medium">
        <color rgb="001C2833"/>
      </bottom>
    </border>
    <border>
      <left style="thick">
        <color rgb="002D6AA3"/>
      </left>
    </border>
    <border>
      <left/>
      <right style="thick">
        <color rgb="00FFFFFF"/>
      </right>
    </border>
    <border>
      <left style="thick">
        <color rgb="00D24E17"/>
      </left>
    </border>
    <border>
      <bottom style="thin">
        <color rgb="008F9BA6"/>
      </bottom>
    </border>
    <border>
      <bottom style="thin">
        <color rgb="00C6CDD3"/>
      </bottom>
    </border>
    <border>
      <left style="thick">
        <color rgb="008A5200"/>
      </left>
    </border>
  </borders>
  <cellStyleXfs count="1">
    <xf numFmtId="0" fontId="0" fillId="0" borderId="0"/>
  </cellStyleXfs>
  <cellXfs count="80">
    <xf numFmtId="0" fontId="0" fillId="0" borderId="0" pivotButton="0" quotePrefix="0" xfId="0"/>
    <xf numFmtId="0" fontId="5" fillId="0" borderId="0" pivotButton="0" quotePrefix="0" xfId="0"/>
    <xf numFmtId="0" fontId="6" fillId="0" borderId="1" pivotButton="0" quotePrefix="0" xfId="0"/>
    <xf numFmtId="0" fontId="0" fillId="0" borderId="1" pivotButton="0" quotePrefix="0" xfId="0"/>
    <xf numFmtId="0" fontId="2" fillId="0" borderId="0" applyAlignment="1" pivotButton="0" quotePrefix="0" xfId="0">
      <alignment vertical="center"/>
    </xf>
    <xf numFmtId="0" fontId="7" fillId="0" borderId="0" applyAlignment="1" pivotButton="0" quotePrefix="0" xfId="0">
      <alignment vertical="center"/>
    </xf>
    <xf numFmtId="0" fontId="2" fillId="3" borderId="2" applyAlignment="1" pivotButton="0" quotePrefix="0" xfId="0">
      <alignment horizontal="left" vertical="bottom" indent="1"/>
    </xf>
    <xf numFmtId="0" fontId="0" fillId="3" borderId="0" pivotButton="0" quotePrefix="0" xfId="0"/>
    <xf numFmtId="0" fontId="0" fillId="3" borderId="3" pivotButton="0" quotePrefix="0" xfId="0"/>
    <xf numFmtId="0" fontId="2" fillId="3" borderId="4" applyAlignment="1" pivotButton="0" quotePrefix="0" xfId="0">
      <alignment horizontal="left" vertical="bottom" indent="1"/>
    </xf>
    <xf numFmtId="166" fontId="5" fillId="3" borderId="2" applyAlignment="1" pivotButton="0" quotePrefix="0" xfId="0">
      <alignment horizontal="left" vertical="center" indent="1"/>
    </xf>
    <xf numFmtId="2" fontId="5" fillId="3" borderId="2" applyAlignment="1" pivotButton="0" quotePrefix="0" xfId="0">
      <alignment horizontal="left" vertical="center" indent="1"/>
    </xf>
    <xf numFmtId="1" fontId="5" fillId="3" borderId="2" applyAlignment="1" pivotButton="0" quotePrefix="0" xfId="0">
      <alignment horizontal="left" vertical="center" indent="1"/>
    </xf>
    <xf numFmtId="167" fontId="5" fillId="3" borderId="2" applyAlignment="1" pivotButton="0" quotePrefix="0" xfId="0">
      <alignment horizontal="left" vertical="center" indent="1"/>
    </xf>
    <xf numFmtId="168" fontId="8" fillId="3" borderId="4" applyAlignment="1" pivotButton="0" quotePrefix="0" xfId="0">
      <alignment horizontal="left" vertical="center" indent="1"/>
    </xf>
    <xf numFmtId="169" fontId="5" fillId="3" borderId="2" applyAlignment="1" pivotButton="0" quotePrefix="0" xfId="0">
      <alignment horizontal="left" vertical="center" indent="1"/>
    </xf>
    <xf numFmtId="0" fontId="9" fillId="0" borderId="5" applyAlignment="1" pivotButton="0" quotePrefix="0" xfId="0">
      <alignment horizontal="center" vertical="bottom"/>
    </xf>
    <xf numFmtId="0" fontId="0" fillId="0" borderId="5" pivotButton="0" quotePrefix="0" xfId="0"/>
    <xf numFmtId="0" fontId="3" fillId="2" borderId="1" applyAlignment="1" pivotButton="0" quotePrefix="0" xfId="0">
      <alignment horizontal="center" vertical="center" wrapText="1"/>
    </xf>
    <xf numFmtId="1" fontId="10" fillId="0" borderId="6" applyAlignment="1" pivotButton="0" quotePrefix="0" xfId="0">
      <alignment horizontal="center" vertical="center"/>
    </xf>
    <xf numFmtId="0" fontId="11" fillId="0" borderId="6" applyAlignment="1" pivotButton="0" quotePrefix="0" xfId="0">
      <alignment horizontal="left" vertical="center" indent="1"/>
    </xf>
    <xf numFmtId="164" fontId="11" fillId="0" borderId="6" applyAlignment="1" pivotButton="0" quotePrefix="0" xfId="0">
      <alignment horizontal="right" vertical="center"/>
    </xf>
    <xf numFmtId="3" fontId="11" fillId="0" borderId="6" applyAlignment="1" pivotButton="0" quotePrefix="0" xfId="0">
      <alignment horizontal="right" vertical="center"/>
    </xf>
    <xf numFmtId="0" fontId="12" fillId="0" borderId="6" applyAlignment="1" pivotButton="0" quotePrefix="0" xfId="0">
      <alignment horizontal="right" vertical="center"/>
    </xf>
    <xf numFmtId="164" fontId="12" fillId="0" borderId="6" applyAlignment="1" pivotButton="0" quotePrefix="0" xfId="0">
      <alignment horizontal="right" vertical="center"/>
    </xf>
    <xf numFmtId="1" fontId="12" fillId="0" borderId="6" applyAlignment="1" pivotButton="0" quotePrefix="0" xfId="0">
      <alignment horizontal="right" vertical="center"/>
    </xf>
    <xf numFmtId="1" fontId="13" fillId="0" borderId="6" applyAlignment="1" pivotButton="0" quotePrefix="0" xfId="0">
      <alignment horizontal="center" vertical="center"/>
    </xf>
    <xf numFmtId="3" fontId="7" fillId="0" borderId="6" applyAlignment="1" pivotButton="0" quotePrefix="0" xfId="0">
      <alignment horizontal="right" vertical="center"/>
    </xf>
    <xf numFmtId="2" fontId="7" fillId="0" borderId="6" applyAlignment="1" pivotButton="0" quotePrefix="0" xfId="0">
      <alignment horizontal="right" vertical="center"/>
    </xf>
    <xf numFmtId="165" fontId="7" fillId="0" borderId="6" applyAlignment="1" pivotButton="0" quotePrefix="0" xfId="0">
      <alignment horizontal="right" vertical="center"/>
    </xf>
    <xf numFmtId="1" fontId="7" fillId="0" borderId="6" applyAlignment="1" pivotButton="0" quotePrefix="0" xfId="0">
      <alignment horizontal="right" vertical="center"/>
    </xf>
    <xf numFmtId="164" fontId="7" fillId="0" borderId="6" applyAlignment="1" pivotButton="0" quotePrefix="0" xfId="0">
      <alignment horizontal="right" vertical="center"/>
    </xf>
    <xf numFmtId="1" fontId="13" fillId="4" borderId="6" applyAlignment="1" pivotButton="0" quotePrefix="0" xfId="0">
      <alignment horizontal="center" vertical="center"/>
    </xf>
    <xf numFmtId="0" fontId="11" fillId="4" borderId="6" applyAlignment="1" pivotButton="0" quotePrefix="0" xfId="0">
      <alignment horizontal="left" vertical="center" indent="1"/>
    </xf>
    <xf numFmtId="164" fontId="11" fillId="4" borderId="6" applyAlignment="1" pivotButton="0" quotePrefix="0" xfId="0">
      <alignment horizontal="right" vertical="center"/>
    </xf>
    <xf numFmtId="3" fontId="7" fillId="4" borderId="6" applyAlignment="1" pivotButton="0" quotePrefix="0" xfId="0">
      <alignment horizontal="right" vertical="center"/>
    </xf>
    <xf numFmtId="2" fontId="7" fillId="4" borderId="6" applyAlignment="1" pivotButton="0" quotePrefix="0" xfId="0">
      <alignment horizontal="right" vertical="center"/>
    </xf>
    <xf numFmtId="165" fontId="7" fillId="4" borderId="6" applyAlignment="1" pivotButton="0" quotePrefix="0" xfId="0">
      <alignment horizontal="right" vertical="center"/>
    </xf>
    <xf numFmtId="1" fontId="7" fillId="4" borderId="6" applyAlignment="1" pivotButton="0" quotePrefix="0" xfId="0">
      <alignment horizontal="right" vertical="center"/>
    </xf>
    <xf numFmtId="164" fontId="7" fillId="4" borderId="6" applyAlignment="1" pivotButton="0" quotePrefix="0" xfId="0">
      <alignment horizontal="right" vertical="center"/>
    </xf>
    <xf numFmtId="1" fontId="14" fillId="5" borderId="6" applyAlignment="1" pivotButton="0" quotePrefix="0" xfId="0">
      <alignment horizontal="right" vertical="center"/>
    </xf>
    <xf numFmtId="1" fontId="13" fillId="4" borderId="1" applyAlignment="1" pivotButton="0" quotePrefix="0" xfId="0">
      <alignment horizontal="center" vertical="center"/>
    </xf>
    <xf numFmtId="0" fontId="11" fillId="4" borderId="1" applyAlignment="1" pivotButton="0" quotePrefix="0" xfId="0">
      <alignment horizontal="left" vertical="center" indent="1"/>
    </xf>
    <xf numFmtId="164" fontId="11" fillId="4" borderId="1" applyAlignment="1" pivotButton="0" quotePrefix="0" xfId="0">
      <alignment horizontal="right" vertical="center"/>
    </xf>
    <xf numFmtId="3" fontId="7" fillId="4" borderId="1" applyAlignment="1" pivotButton="0" quotePrefix="0" xfId="0">
      <alignment horizontal="right" vertical="center"/>
    </xf>
    <xf numFmtId="2" fontId="7" fillId="4" borderId="1" applyAlignment="1" pivotButton="0" quotePrefix="0" xfId="0">
      <alignment horizontal="right" vertical="center"/>
    </xf>
    <xf numFmtId="165" fontId="7" fillId="4" borderId="1" applyAlignment="1" pivotButton="0" quotePrefix="0" xfId="0">
      <alignment horizontal="right" vertical="center"/>
    </xf>
    <xf numFmtId="1" fontId="7" fillId="4" borderId="1" applyAlignment="1" pivotButton="0" quotePrefix="0" xfId="0">
      <alignment horizontal="right" vertical="center"/>
    </xf>
    <xf numFmtId="164" fontId="7" fillId="4" borderId="1" applyAlignment="1" pivotButton="0" quotePrefix="0" xfId="0">
      <alignment horizontal="right" vertical="center"/>
    </xf>
    <xf numFmtId="1" fontId="14" fillId="5" borderId="1" applyAlignment="1" pivotButton="0" quotePrefix="0" xfId="0">
      <alignment horizontal="right" vertical="center"/>
    </xf>
    <xf numFmtId="0" fontId="15" fillId="0" borderId="0" applyAlignment="1" pivotButton="0" quotePrefix="0" xfId="0">
      <alignment vertical="top" wrapText="1"/>
    </xf>
    <xf numFmtId="0" fontId="7" fillId="5" borderId="7" applyAlignment="1" pivotButton="0" quotePrefix="0" xfId="0">
      <alignment horizontal="left" vertical="center" wrapText="1" indent="1"/>
    </xf>
    <xf numFmtId="0" fontId="0" fillId="5" borderId="0" pivotButton="0" quotePrefix="0" xfId="0"/>
    <xf numFmtId="0" fontId="1" fillId="0" borderId="0" pivotButton="0" quotePrefix="0" xfId="0"/>
    <xf numFmtId="0" fontId="2" fillId="0" borderId="0" pivotButton="0" quotePrefix="0" xfId="0"/>
    <xf numFmtId="2" fontId="12" fillId="0" borderId="6" applyAlignment="1" pivotButton="0" quotePrefix="0" xfId="0">
      <alignment horizontal="right" vertical="center"/>
    </xf>
    <xf numFmtId="170" fontId="7" fillId="0" borderId="6" applyAlignment="1" pivotButton="0" quotePrefix="0" xfId="0">
      <alignment horizontal="right" vertical="center"/>
    </xf>
    <xf numFmtId="170" fontId="7" fillId="4" borderId="6" applyAlignment="1" pivotButton="0" quotePrefix="0" xfId="0">
      <alignment horizontal="right" vertical="center"/>
    </xf>
    <xf numFmtId="164" fontId="14" fillId="5" borderId="6" applyAlignment="1" pivotButton="0" quotePrefix="0" xfId="0">
      <alignment horizontal="right" vertical="center"/>
    </xf>
    <xf numFmtId="170" fontId="7" fillId="4" borderId="1" applyAlignment="1" pivotButton="0" quotePrefix="0" xfId="0">
      <alignment horizontal="right" vertical="center"/>
    </xf>
    <xf numFmtId="164" fontId="14" fillId="5" borderId="1" applyAlignment="1" pivotButton="0" quotePrefix="0" xfId="0">
      <alignment horizontal="right" vertical="center"/>
    </xf>
    <xf numFmtId="0" fontId="15" fillId="0" borderId="0" pivotButton="0" quotePrefix="0" xfId="0"/>
    <xf numFmtId="0" fontId="13" fillId="2" borderId="1" applyAlignment="1" pivotButton="0" quotePrefix="0" xfId="0">
      <alignment horizontal="left" vertical="center" indent="1"/>
    </xf>
    <xf numFmtId="0" fontId="9" fillId="2" borderId="1" applyAlignment="1" pivotButton="0" quotePrefix="0" xfId="0">
      <alignment horizontal="right" vertical="center"/>
    </xf>
    <xf numFmtId="0" fontId="9" fillId="2" borderId="1" applyAlignment="1" pivotButton="0" quotePrefix="0" xfId="0">
      <alignment horizontal="left" vertical="center" indent="1"/>
    </xf>
    <xf numFmtId="0" fontId="7" fillId="0" borderId="6" applyAlignment="1" pivotButton="0" quotePrefix="0" xfId="0">
      <alignment horizontal="left" vertical="center" indent="1"/>
    </xf>
    <xf numFmtId="0" fontId="11" fillId="0" borderId="6" applyAlignment="1" pivotButton="0" quotePrefix="0" xfId="0">
      <alignment horizontal="right" vertical="center"/>
    </xf>
    <xf numFmtId="0" fontId="12" fillId="0" borderId="6" applyAlignment="1" pivotButton="0" quotePrefix="0" xfId="0">
      <alignment horizontal="left" vertical="center" indent="1"/>
    </xf>
    <xf numFmtId="0" fontId="2" fillId="0" borderId="6" applyAlignment="1" pivotButton="0" quotePrefix="0" xfId="0">
      <alignment horizontal="left" vertical="center" indent="1"/>
    </xf>
    <xf numFmtId="1" fontId="11" fillId="0" borderId="6" applyAlignment="1" pivotButton="0" quotePrefix="0" xfId="0">
      <alignment horizontal="right" vertical="center"/>
    </xf>
    <xf numFmtId="2" fontId="11" fillId="0" borderId="6" applyAlignment="1" pivotButton="0" quotePrefix="0" xfId="0">
      <alignment horizontal="right" vertical="center"/>
    </xf>
    <xf numFmtId="171" fontId="11" fillId="0" borderId="6" applyAlignment="1" pivotButton="0" quotePrefix="0" xfId="0">
      <alignment horizontal="right" vertical="center"/>
    </xf>
    <xf numFmtId="165" fontId="11" fillId="0" borderId="6" applyAlignment="1" pivotButton="0" quotePrefix="0" xfId="0">
      <alignment horizontal="right" vertical="center"/>
    </xf>
    <xf numFmtId="0" fontId="16" fillId="0" borderId="1" pivotButton="0" quotePrefix="0" xfId="0"/>
    <xf numFmtId="0" fontId="13" fillId="0" borderId="0" pivotButton="0" quotePrefix="0" xfId="0"/>
    <xf numFmtId="0" fontId="17" fillId="0" borderId="0" applyAlignment="1" pivotButton="0" quotePrefix="0" xfId="0">
      <alignment vertical="top" wrapText="1"/>
    </xf>
    <xf numFmtId="164" fontId="4" fillId="0" borderId="0" pivotButton="0" quotePrefix="0" xfId="0"/>
    <xf numFmtId="165" fontId="4" fillId="0" borderId="0" pivotButton="0" quotePrefix="0" xfId="0"/>
    <xf numFmtId="1" fontId="4"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sz="1100" b="1">
                <a:solidFill>
                  <a:srgbClr val="1C2833"/>
                </a:solidFill>
                <a:latin typeface="Arial"/>
              </a:defRPr>
            </a:pPr>
            <a:r>
              <a:rPr sz="1100" b="1">
                <a:solidFill>
                  <a:srgbClr val="1C2833"/>
                </a:solidFill>
                <a:latin typeface="Arial"/>
              </a:rPr>
              <a:t>Temperaturverlauf EN AW-6082</a:t>
            </a:r>
          </a:p>
        </rich>
      </tx>
      <overlay val="0"/>
    </title>
    <plotArea>
      <scatterChart>
        <scatterStyle val="line"/>
        <ser>
          <idx val="0"/>
          <order val="0"/>
          <tx>
            <strRef>
              <f>'Diagrammdaten'!C3</f>
            </strRef>
          </tx>
          <spPr>
            <a:ln w="28575">
              <a:solidFill>
                <a:srgbClr val="D24E17"/>
              </a:solidFill>
              <a:prstDash val="solid"/>
            </a:ln>
          </spPr>
          <marker>
            <symbol val="none"/>
            <spPr>
              <a:ln>
                <a:prstDash val="solid"/>
              </a:ln>
            </spPr>
          </marker>
          <xVal>
            <numRef>
              <f>'Diagrammdaten'!$B$4:$B$703</f>
            </numRef>
          </xVal>
          <yVal>
            <numRef>
              <f>'Diagrammdaten'!$C$4:$C$703</f>
            </numRef>
          </yVal>
          <smooth val="0"/>
        </ser>
        <ser>
          <idx val="1"/>
          <order val="1"/>
          <tx>
            <strRef>
              <f>'Diagrammdaten'!D3</f>
            </strRef>
          </tx>
          <spPr>
            <a:ln w="19050">
              <a:solidFill>
                <a:srgbClr val="EE9B3E"/>
              </a:solidFill>
              <a:prstDash val="solid"/>
            </a:ln>
          </spPr>
          <marker>
            <symbol val="none"/>
            <spPr>
              <a:ln>
                <a:prstDash val="solid"/>
              </a:ln>
            </spPr>
          </marker>
          <xVal>
            <numRef>
              <f>'Diagrammdaten'!$B$4:$B$703</f>
            </numRef>
          </xVal>
          <yVal>
            <numRef>
              <f>'Diagrammdaten'!$D$4:$D$703</f>
            </numRef>
          </yVal>
          <smooth val="0"/>
        </ser>
        <ser>
          <idx val="2"/>
          <order val="2"/>
          <tx>
            <strRef>
              <f>'Diagrammdaten'!G3</f>
            </strRef>
          </tx>
          <spPr>
            <a:ln>
              <a:noFill/>
              <a:prstDash val="solid"/>
            </a:ln>
          </spPr>
          <marker>
            <symbol val="circle"/>
            <size val="5"/>
            <spPr>
              <a:solidFill>
                <a:srgbClr val="A92A12"/>
              </a:solidFill>
              <a:ln>
                <a:solidFill>
                  <a:srgbClr val="A92A12"/>
                </a:solidFill>
                <a:prstDash val="solid"/>
              </a:ln>
            </spPr>
          </marker>
          <xVal>
            <numRef>
              <f>'Diagrammdaten'!$F$4:$F$15</f>
            </numRef>
          </xVal>
          <yVal>
            <numRef>
              <f>'Diagrammdaten'!$G$4:$G$15</f>
            </numRef>
          </yVal>
        </ser>
        <ser>
          <idx val="3"/>
          <order val="3"/>
          <tx>
            <strRef>
              <f>'Diagrammdaten'!J3</f>
            </strRef>
          </tx>
          <spPr>
            <a:ln w="15875">
              <a:solidFill>
                <a:srgbClr val="2D6AA3"/>
              </a:solidFill>
              <a:prstDash val="dash"/>
            </a:ln>
          </spPr>
          <marker>
            <symbol val="none"/>
            <spPr>
              <a:ln>
                <a:prstDash val="solid"/>
              </a:ln>
            </spPr>
          </marker>
          <xVal>
            <numRef>
              <f>'Diagrammdaten'!$I$4:$I$5</f>
            </numRef>
          </xVal>
          <yVal>
            <numRef>
              <f>'Diagrammdaten'!$J$4:$J$5</f>
            </numRef>
          </yVal>
        </ser>
        <ser>
          <idx val="4"/>
          <order val="4"/>
          <tx>
            <strRef>
              <f>'Diagrammdaten'!K3</f>
            </strRef>
          </tx>
          <spPr>
            <a:ln w="15875">
              <a:solidFill>
                <a:srgbClr val="2D6AA3"/>
              </a:solidFill>
              <a:prstDash val="dash"/>
            </a:ln>
          </spPr>
          <marker>
            <symbol val="none"/>
            <spPr>
              <a:ln>
                <a:prstDash val="solid"/>
              </a:ln>
            </spPr>
          </marker>
          <xVal>
            <numRef>
              <f>'Diagrammdaten'!$I$4:$I$5</f>
            </numRef>
          </xVal>
          <yVal>
            <numRef>
              <f>'Diagrammdaten'!$K$4:$K$5</f>
            </numRef>
          </yVal>
        </ser>
        <axId val="10"/>
        <axId val="20"/>
      </scatterChart>
      <valAx>
        <axId val="10"/>
        <scaling>
          <orientation val="minMax"/>
          <max val="6"/>
          <min val="0"/>
        </scaling>
        <delete val="0"/>
        <axPos val="l"/>
        <title>
          <tx>
            <rich>
              <a:bodyPr/>
              <a:p>
                <a:pPr>
                  <a:defRPr sz="900" b="0">
                    <a:solidFill>
                      <a:srgbClr val="5A6774"/>
                    </a:solidFill>
                    <a:latin typeface="Arial"/>
                  </a:defRPr>
                </a:pPr>
                <a:r>
                  <a:rPr sz="900" b="0">
                    <a:solidFill>
                      <a:srgbClr val="5A6774"/>
                    </a:solidFill>
                    <a:latin typeface="Arial"/>
                  </a:rPr>
                  <a:t>Zeit ab Ofenentnahme in min</a:t>
                </a:r>
              </a:p>
            </rich>
          </tx>
          <overlay val="0"/>
        </title>
        <numFmt formatCode="0" sourceLinked="0"/>
        <majorTickMark val="none"/>
        <minorTickMark val="none"/>
        <spPr>
          <a:ln>
            <a:solidFill>
              <a:srgbClr val="8F9BA6"/>
            </a:solidFill>
            <a:prstDash val="solid"/>
          </a:ln>
        </spPr>
        <txPr>
          <a:bodyPr/>
          <a:p>
            <a:pPr>
              <a:defRPr sz="900" b="0">
                <a:solidFill>
                  <a:srgbClr val="5A6774"/>
                </a:solidFill>
                <a:latin typeface="Arial"/>
              </a:defRPr>
            </a:pPr>
            <a:r>
              <a:t/>
            </a:r>
            <a:endParaRPr sz="900" b="0">
              <a:solidFill>
                <a:srgbClr val="5A6774"/>
              </a:solidFill>
              <a:latin typeface="Arial"/>
            </a:endParaRPr>
          </a:p>
        </txPr>
        <crossAx val="20"/>
        <majorUnit val="1"/>
      </valAx>
      <valAx>
        <axId val="20"/>
        <scaling>
          <orientation val="minMax"/>
          <max val="540"/>
          <min val="340"/>
        </scaling>
        <delete val="0"/>
        <axPos val="l"/>
        <majorGridlines>
          <spPr>
            <a:ln>
              <a:solidFill>
                <a:srgbClr val="C6CDD3"/>
              </a:solidFill>
              <a:prstDash val="solid"/>
            </a:ln>
          </spPr>
        </majorGridlines>
        <title>
          <tx>
            <rich>
              <a:bodyPr/>
              <a:p>
                <a:pPr>
                  <a:defRPr sz="900" b="0">
                    <a:solidFill>
                      <a:srgbClr val="5A6774"/>
                    </a:solidFill>
                    <a:latin typeface="Arial"/>
                  </a:defRPr>
                </a:pPr>
                <a:r>
                  <a:rPr sz="900" b="0">
                    <a:solidFill>
                      <a:srgbClr val="5A6774"/>
                    </a:solidFill>
                    <a:latin typeface="Arial"/>
                  </a:rPr>
                  <a:t>Temperatur in °C</a:t>
                </a:r>
              </a:p>
            </rich>
          </tx>
          <overlay val="0"/>
        </title>
        <numFmt formatCode="0" sourceLinked="0"/>
        <majorTickMark val="none"/>
        <minorTickMark val="none"/>
        <spPr>
          <a:ln>
            <a:solidFill>
              <a:srgbClr val="8F9BA6"/>
            </a:solidFill>
            <a:prstDash val="solid"/>
          </a:ln>
        </spPr>
        <txPr>
          <a:bodyPr/>
          <a:p>
            <a:pPr>
              <a:defRPr sz="900" b="0">
                <a:solidFill>
                  <a:srgbClr val="5A6774"/>
                </a:solidFill>
                <a:latin typeface="Arial"/>
              </a:defRPr>
            </a:pPr>
            <a:r>
              <a:t/>
            </a:r>
            <a:endParaRPr sz="900" b="0">
              <a:solidFill>
                <a:srgbClr val="5A6774"/>
              </a:solidFill>
              <a:latin typeface="Arial"/>
            </a:endParaRPr>
          </a:p>
        </txPr>
        <crossAx val="10"/>
        <majorUnit val="20"/>
      </valAx>
    </plotArea>
    <legend>
      <legendPos val="b"/>
      <txPr>
        <a:bodyPr/>
        <a:p>
          <a:pPr>
            <a:defRPr sz="900" b="0">
              <a:solidFill>
                <a:srgbClr val="1C2833"/>
              </a:solidFill>
              <a:latin typeface="Arial"/>
            </a:defRPr>
          </a:pPr>
          <a:r>
            <a:t/>
          </a:r>
          <a:endParaRPr sz="900" b="0">
            <a:solidFill>
              <a:srgbClr val="1C2833"/>
            </a:solidFill>
            <a:latin typeface="Arial"/>
          </a:endParaRPr>
        </a:p>
      </txPr>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style val="2"/>
  <chart>
    <title>
      <tx>
        <rich>
          <a:bodyPr/>
          <a:p>
            <a:pPr>
              <a:defRPr sz="1100" b="1">
                <a:solidFill>
                  <a:srgbClr val="1C2833"/>
                </a:solidFill>
                <a:latin typeface="Arial"/>
              </a:defRPr>
            </a:pPr>
            <a:r>
              <a:rPr sz="1100" b="1">
                <a:solidFill>
                  <a:srgbClr val="1C2833"/>
                </a:solidFill>
                <a:latin typeface="Arial"/>
              </a:rPr>
              <a:t>Presskraft je Stich (Grenze 10,0 MN)</a:t>
            </a:r>
          </a:p>
        </rich>
      </tx>
      <overlay val="0"/>
    </title>
    <plotArea>
      <barChart>
        <barDir val="col"/>
        <grouping val="clustered"/>
        <ser>
          <idx val="0"/>
          <order val="0"/>
          <tx>
            <v>Presskraft</v>
          </tx>
          <spPr>
            <a:solidFill>
              <a:srgbClr val="2D6AA3"/>
            </a:solidFill>
            <a:ln>
              <a:noFill/>
              <a:prstDash val="solid"/>
            </a:ln>
          </spPr>
          <cat>
            <numRef>
              <f>'Stichplan'!$A$14:$A$17</f>
            </numRef>
          </cat>
          <val>
            <numRef>
              <f>'Stichplan'!$O$14:$O$17</f>
            </numRef>
          </val>
        </ser>
        <gapWidth val="60"/>
        <axId val="10"/>
        <axId val="100"/>
      </barChart>
      <catAx>
        <axId val="10"/>
        <scaling>
          <orientation val="minMax"/>
        </scaling>
        <delete val="0"/>
        <axPos val="l"/>
        <title>
          <tx>
            <rich>
              <a:bodyPr/>
              <a:p>
                <a:pPr>
                  <a:defRPr sz="900" b="0">
                    <a:solidFill>
                      <a:srgbClr val="5A6774"/>
                    </a:solidFill>
                    <a:latin typeface="Arial"/>
                  </a:defRPr>
                </a:pPr>
                <a:r>
                  <a:rPr sz="900" b="0">
                    <a:solidFill>
                      <a:srgbClr val="5A6774"/>
                    </a:solidFill>
                    <a:latin typeface="Arial"/>
                  </a:rPr>
                  <a:t>Stich</a:t>
                </a:r>
              </a:p>
            </rich>
          </tx>
          <overlay val="0"/>
        </title>
        <majorTickMark val="none"/>
        <minorTickMark val="none"/>
        <spPr>
          <a:ln>
            <a:solidFill>
              <a:srgbClr val="8F9BA6"/>
            </a:solidFill>
            <a:prstDash val="solid"/>
          </a:ln>
        </spPr>
        <txPr>
          <a:bodyPr/>
          <a:p>
            <a:pPr>
              <a:defRPr sz="900" b="0">
                <a:solidFill>
                  <a:srgbClr val="5A6774"/>
                </a:solidFill>
                <a:latin typeface="Arial"/>
              </a:defRPr>
            </a:pPr>
            <a:r>
              <a:t/>
            </a:r>
            <a:endParaRPr sz="900" b="0">
              <a:solidFill>
                <a:srgbClr val="5A6774"/>
              </a:solidFill>
              <a:latin typeface="Arial"/>
            </a:endParaRPr>
          </a:p>
        </txPr>
        <crossAx val="100"/>
        <lblOffset val="100"/>
      </catAx>
      <valAx>
        <axId val="100"/>
        <scaling>
          <orientation val="minMax"/>
          <max val="2.5"/>
          <min val="0"/>
        </scaling>
        <delete val="0"/>
        <axPos val="l"/>
        <majorGridlines>
          <spPr>
            <a:ln>
              <a:solidFill>
                <a:srgbClr val="C6CDD3"/>
              </a:solidFill>
              <a:prstDash val="solid"/>
            </a:ln>
          </spPr>
        </majorGridlines>
        <title>
          <tx>
            <rich>
              <a:bodyPr/>
              <a:p>
                <a:pPr>
                  <a:defRPr sz="900" b="0">
                    <a:solidFill>
                      <a:srgbClr val="5A6774"/>
                    </a:solidFill>
                    <a:latin typeface="Arial"/>
                  </a:defRPr>
                </a:pPr>
                <a:r>
                  <a:rPr sz="900" b="0">
                    <a:solidFill>
                      <a:srgbClr val="5A6774"/>
                    </a:solidFill>
                    <a:latin typeface="Arial"/>
                  </a:rPr>
                  <a:t>Presskraft in MN</a:t>
                </a:r>
              </a:p>
            </rich>
          </tx>
          <overlay val="0"/>
        </title>
        <numFmt formatCode="0.0" sourceLinked="0"/>
        <majorTickMark val="none"/>
        <minorTickMark val="none"/>
        <spPr>
          <a:ln>
            <a:solidFill>
              <a:srgbClr val="8F9BA6"/>
            </a:solidFill>
            <a:prstDash val="solid"/>
          </a:ln>
        </spPr>
        <txPr>
          <a:bodyPr/>
          <a:p>
            <a:pPr>
              <a:defRPr sz="900" b="0">
                <a:solidFill>
                  <a:srgbClr val="5A6774"/>
                </a:solidFill>
                <a:latin typeface="Arial"/>
              </a:defRPr>
            </a:pPr>
            <a:r>
              <a:t/>
            </a:r>
            <a:endParaRPr sz="900" b="0">
              <a:solidFill>
                <a:srgbClr val="5A6774"/>
              </a:solidFill>
              <a:latin typeface="Arial"/>
            </a:endParaRPr>
          </a:p>
        </txPr>
        <crossAx val="10"/>
        <majorUnit val="0.5"/>
      </valAx>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24</row>
      <rowOff>0</rowOff>
    </from>
    <ext cx="7740000" cy="41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3960000" cy="41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2D6AA3"/>
    <outlinePr summaryBelow="1" summaryRight="1"/>
    <pageSetUpPr fitToPage="1"/>
  </sheetPr>
  <dimension ref="A1:R23"/>
  <sheetViews>
    <sheetView showGridLines="0" zoomScale="100" workbookViewId="0">
      <selection activeCell="A1" sqref="A1"/>
    </sheetView>
  </sheetViews>
  <sheetFormatPr baseColWidth="8" defaultRowHeight="15"/>
  <cols>
    <col width="6.5" customWidth="1" min="1" max="1"/>
    <col width="11" customWidth="1" min="2" max="2"/>
    <col width="10" customWidth="1" min="3" max="3"/>
    <col width="9" customWidth="1" min="4" max="4"/>
    <col width="10.5" customWidth="1" min="5" max="5"/>
    <col width="7.5" customWidth="1" min="6" max="6"/>
    <col width="7" customWidth="1" min="7" max="7"/>
    <col width="8.5" customWidth="1" min="8" max="8"/>
    <col width="7" customWidth="1" min="9" max="9"/>
    <col width="9.5" customWidth="1" min="10" max="10"/>
    <col width="12" customWidth="1" min="11" max="11"/>
    <col width="10.5" customWidth="1" min="12" max="12"/>
    <col width="9.5" customWidth="1" min="13" max="13"/>
    <col width="7.5" customWidth="1" min="14" max="14"/>
    <col width="10" customWidth="1" min="15" max="15"/>
    <col width="7.5" customWidth="1" min="16" max="16"/>
    <col width="10.5" customWidth="1" min="17" max="17"/>
    <col width="11.5" customWidth="1" min="18" max="18"/>
  </cols>
  <sheetData>
    <row r="1" ht="30" customHeight="1">
      <c r="A1" s="1" t="inlineStr">
        <is>
          <t>Stichplan EN AW-6082</t>
        </is>
      </c>
    </row>
    <row r="2" ht="18" customHeight="1">
      <c r="A2" s="2" t="inlineStr">
        <is>
          <t>Projekt „Beispielprojekt_EN_AW-6082“, Freiformschmieden, Recken mit Flachsätteln. Erstellt am 15.10.2026, 09:05 Uhr mit dem Freiformschmieden-Rechner 1.5.</t>
        </is>
      </c>
      <c r="B2" s="3" t="n"/>
      <c r="C2" s="3" t="n"/>
      <c r="D2" s="3" t="n"/>
      <c r="E2" s="3" t="n"/>
      <c r="F2" s="3" t="n"/>
      <c r="G2" s="3" t="n"/>
      <c r="H2" s="3" t="n"/>
      <c r="I2" s="3" t="n"/>
      <c r="J2" s="3" t="n"/>
      <c r="K2" s="3" t="n"/>
      <c r="L2" s="3" t="n"/>
      <c r="M2" s="3" t="n"/>
      <c r="N2" s="3" t="n"/>
      <c r="O2" s="3" t="n"/>
      <c r="P2" s="3" t="n"/>
      <c r="Q2" s="3" t="n"/>
      <c r="R2" s="3" t="n"/>
    </row>
    <row r="3" ht="8" customHeight="1"/>
    <row r="4" ht="17" customHeight="1">
      <c r="A4" s="4" t="inlineStr">
        <is>
          <t>Werkstoff</t>
        </is>
      </c>
      <c r="C4" s="5" t="inlineStr">
        <is>
          <t>EN AW-6082</t>
        </is>
      </c>
      <c r="G4" s="4" t="inlineStr">
        <is>
          <t>Rohblock</t>
        </is>
      </c>
      <c r="I4" s="5" t="inlineStr">
        <is>
          <t>Rund Ø 200 × 400 mm, 33,9 kg</t>
        </is>
      </c>
      <c r="N4" s="4" t="inlineStr">
        <is>
          <t>Schmiedestück</t>
        </is>
      </c>
      <c r="P4" s="5" t="inlineStr">
        <is>
          <t>Rund Ø 110 × 1.322 mm</t>
        </is>
      </c>
    </row>
    <row r="5" ht="17" customHeight="1">
      <c r="A5" s="4" t="inlineStr">
        <is>
          <t>Ofenentnahme</t>
        </is>
      </c>
      <c r="C5" s="5" t="inlineStr">
        <is>
          <t>480 °C, Transport 20 s</t>
        </is>
      </c>
      <c r="G5" s="4" t="inlineStr">
        <is>
          <t>Presse, Sättel</t>
        </is>
      </c>
      <c r="I5" s="5" t="inlineStr">
        <is>
          <t>v = 40 mm/s, s_B = Sattelbreite, Sättel 200 mm, 250 °C</t>
        </is>
      </c>
      <c r="N5" s="4" t="inlineStr">
        <is>
          <t>Fließspannung</t>
        </is>
      </c>
      <c r="P5" s="5" t="inlineStr">
        <is>
          <t>Sellars-Tegart</t>
        </is>
      </c>
    </row>
    <row r="6" ht="17" customHeight="1">
      <c r="A6" s="4" t="inlineStr">
        <is>
          <t>Wärmeübergang</t>
        </is>
      </c>
      <c r="C6" s="5" t="inlineStr">
        <is>
          <t>h_K 15.000, Luft 10 W/(m² K)</t>
        </is>
      </c>
      <c r="G6" s="4" t="inlineStr">
        <is>
          <t>Grenzen</t>
        </is>
      </c>
      <c r="I6" s="5" t="inlineStr">
        <is>
          <t>F ≤ 10,0 MN, Oberfläche ≥ 400 °C, Kern ≤ 520 °C</t>
        </is>
      </c>
      <c r="N6" s="4" t="inlineStr">
        <is>
          <t>Umformung</t>
        </is>
      </c>
      <c r="P6" s="5" t="inlineStr">
        <is>
          <t>η_F = 0,75, μ = 0,30</t>
        </is>
      </c>
    </row>
    <row r="7" ht="10" customHeight="1"/>
    <row r="8" ht="18" customHeight="1">
      <c r="A8" s="6" t="inlineStr">
        <is>
          <t>Verschmiedungsgrad</t>
        </is>
      </c>
      <c r="B8" s="7" t="n"/>
      <c r="C8" s="8" t="n"/>
      <c r="D8" s="6" t="inlineStr">
        <is>
          <t>Umformgrad φ gesamt</t>
        </is>
      </c>
      <c r="E8" s="7" t="n"/>
      <c r="F8" s="8" t="n"/>
      <c r="G8" s="6" t="inlineStr">
        <is>
          <t>Hübe gesamt</t>
        </is>
      </c>
      <c r="H8" s="7" t="n"/>
      <c r="I8" s="8" t="n"/>
      <c r="J8" s="6" t="inlineStr">
        <is>
          <t>Dauer ab Ofenentnahme</t>
        </is>
      </c>
      <c r="K8" s="7" t="n"/>
      <c r="L8" s="8" t="n"/>
      <c r="M8" s="9" t="inlineStr">
        <is>
          <t>Kern am Ende</t>
        </is>
      </c>
      <c r="N8" s="7" t="n"/>
      <c r="O8" s="8" t="n"/>
      <c r="P8" s="6" t="inlineStr">
        <is>
          <t>Presskraft max.</t>
        </is>
      </c>
      <c r="Q8" s="7" t="n"/>
      <c r="R8" s="8" t="n"/>
    </row>
    <row r="9" ht="32" customHeight="1">
      <c r="A9" s="10" t="n">
        <v>3.305785123966942</v>
      </c>
      <c r="B9" s="7" t="n"/>
      <c r="C9" s="8" t="n"/>
      <c r="D9" s="11" t="n">
        <v>1.195674001511241</v>
      </c>
      <c r="E9" s="7" t="n"/>
      <c r="F9" s="8" t="n"/>
      <c r="G9" s="12" t="n">
        <v>50</v>
      </c>
      <c r="H9" s="7" t="n"/>
      <c r="I9" s="8" t="n"/>
      <c r="J9" s="13" t="n">
        <v>5.720235953884712</v>
      </c>
      <c r="K9" s="7" t="n"/>
      <c r="L9" s="8" t="n"/>
      <c r="M9" s="14" t="n">
        <v>401.7797339938006</v>
      </c>
      <c r="N9" s="7" t="n"/>
      <c r="O9" s="8" t="n"/>
      <c r="P9" s="15" t="n">
        <v>1.823173980150123</v>
      </c>
      <c r="Q9" s="7" t="n"/>
      <c r="R9" s="8" t="n"/>
    </row>
    <row r="10" ht="12" customHeight="1"/>
    <row r="11" ht="16" customHeight="1">
      <c r="B11" s="16" t="inlineStr">
        <is>
          <t>Geometrie</t>
        </is>
      </c>
      <c r="C11" s="17" t="n"/>
      <c r="D11" s="17" t="n"/>
      <c r="E11" s="17" t="n"/>
      <c r="F11" s="17" t="n"/>
      <c r="G11" s="16" t="inlineStr">
        <is>
          <t>Ablauf an der Presse</t>
        </is>
      </c>
      <c r="H11" s="17" t="n"/>
      <c r="I11" s="17" t="n"/>
      <c r="J11" s="17" t="n"/>
      <c r="K11" s="17" t="n"/>
      <c r="L11" s="17" t="n"/>
      <c r="M11" s="17" t="n"/>
      <c r="N11" s="16" t="inlineStr">
        <is>
          <t>Kraft</t>
        </is>
      </c>
      <c r="O11" s="17" t="n"/>
      <c r="P11" s="16" t="inlineStr">
        <is>
          <t>Temperatur</t>
        </is>
      </c>
      <c r="Q11" s="17" t="n"/>
      <c r="R11" s="17" t="n"/>
    </row>
    <row r="12" ht="30" customHeight="1">
      <c r="A12" s="18" t="inlineStr">
        <is>
          <t>Stich</t>
        </is>
      </c>
      <c r="B12" s="18" t="inlineStr">
        <is>
          <t>Form</t>
        </is>
      </c>
      <c r="C12" s="18" t="inlineStr">
        <is>
          <t>Maß D/a/SW
[mm]</t>
        </is>
      </c>
      <c r="D12" s="18" t="inlineStr">
        <is>
          <t>Länge
[mm]</t>
        </is>
      </c>
      <c r="E12" s="18" t="inlineStr">
        <is>
          <t>Verschmie-
dungsgrad</t>
        </is>
      </c>
      <c r="F12" s="18" t="inlineStr">
        <is>
          <t>φ
[–]</t>
        </is>
      </c>
      <c r="G12" s="18" t="inlineStr">
        <is>
          <t>Dreh-
lagen</t>
        </is>
      </c>
      <c r="H12" s="18" t="inlineStr">
        <is>
          <t>Bisse</t>
        </is>
      </c>
      <c r="I12" s="18" t="inlineStr">
        <is>
          <t>Hübe</t>
        </is>
      </c>
      <c r="J12" s="18" t="inlineStr">
        <is>
          <t>Bisslänge
s_B [mm]</t>
        </is>
      </c>
      <c r="K12" s="18" t="inlineStr">
        <is>
          <t>Kontaktbreite
b_K [mm]</t>
        </is>
      </c>
      <c r="L12" s="18" t="inlineStr">
        <is>
          <t>Kontaktzeit
t_K [s]</t>
        </is>
      </c>
      <c r="M12" s="18" t="inlineStr">
        <is>
          <t>Ende nach
[min]</t>
        </is>
      </c>
      <c r="N12" s="18" t="inlineStr">
        <is>
          <t>k_f
[MPa]</t>
        </is>
      </c>
      <c r="O12" s="18" t="inlineStr">
        <is>
          <t>Presskraft
[MN]</t>
        </is>
      </c>
      <c r="P12" s="18" t="inlineStr">
        <is>
          <t>Kern
[°C]</t>
        </is>
      </c>
      <c r="Q12" s="18" t="inlineStr">
        <is>
          <t>Oberfläche
[°C]</t>
        </is>
      </c>
      <c r="R12" s="18" t="inlineStr">
        <is>
          <t>Kontaktzone
min. [°C]</t>
        </is>
      </c>
    </row>
    <row r="13" ht="19" customHeight="1">
      <c r="A13" s="19" t="n">
        <v>0</v>
      </c>
      <c r="B13" s="20" t="inlineStr">
        <is>
          <t>Rund</t>
        </is>
      </c>
      <c r="C13" s="21" t="n">
        <v>200</v>
      </c>
      <c r="D13" s="22" t="n">
        <v>400</v>
      </c>
      <c r="E13" s="23" t="n"/>
      <c r="F13" s="23" t="n"/>
      <c r="G13" s="23" t="n"/>
      <c r="H13" s="23" t="n"/>
      <c r="I13" s="23" t="n"/>
      <c r="J13" s="23" t="n"/>
      <c r="K13" s="23" t="n"/>
      <c r="L13" s="23" t="n"/>
      <c r="M13" s="24" t="n">
        <v>0.3333333333333333</v>
      </c>
      <c r="N13" s="23" t="n"/>
      <c r="O13" s="23" t="n"/>
      <c r="P13" s="25" t="n">
        <v>479.6929161987432</v>
      </c>
      <c r="Q13" s="25" t="n">
        <v>478.1298163474837</v>
      </c>
      <c r="R13" s="23" t="n"/>
    </row>
    <row r="14" ht="19" customHeight="1">
      <c r="A14" s="26" t="n">
        <v>1</v>
      </c>
      <c r="B14" s="20" t="inlineStr">
        <is>
          <t>Vierkant</t>
        </is>
      </c>
      <c r="C14" s="21" t="n">
        <v>160</v>
      </c>
      <c r="D14" s="27" t="n">
        <v>490.8738521234052</v>
      </c>
      <c r="E14" s="28" t="n">
        <v>1.227184630308513</v>
      </c>
      <c r="F14" s="29" t="n">
        <v>0.2047226273579291</v>
      </c>
      <c r="G14" s="30" t="n">
        <v>2</v>
      </c>
      <c r="H14" s="30" t="n">
        <v>2</v>
      </c>
      <c r="I14" s="30" t="n">
        <v>4</v>
      </c>
      <c r="J14" s="30" t="n">
        <v>200</v>
      </c>
      <c r="K14" s="30" t="n">
        <v>160</v>
      </c>
      <c r="L14" s="28" t="n">
        <v>1.2</v>
      </c>
      <c r="M14" s="31" t="n">
        <v>0.7466666666666677</v>
      </c>
      <c r="N14" s="31" t="n">
        <v>45.10016030055964</v>
      </c>
      <c r="O14" s="28" t="n">
        <v>1.823173980150123</v>
      </c>
      <c r="P14" s="30" t="n">
        <v>480.1684690072755</v>
      </c>
      <c r="Q14" s="30" t="n">
        <v>429.2811345806404</v>
      </c>
      <c r="R14" s="30" t="n">
        <v>401.1159479562924</v>
      </c>
    </row>
    <row r="15" ht="19" customHeight="1">
      <c r="A15" s="32" t="n">
        <v>2</v>
      </c>
      <c r="B15" s="33" t="inlineStr">
        <is>
          <t>Vierkant</t>
        </is>
      </c>
      <c r="C15" s="34" t="n">
        <v>130</v>
      </c>
      <c r="D15" s="35" t="n">
        <v>743.5722257017262</v>
      </c>
      <c r="E15" s="36" t="n">
        <v>1.514792899408284</v>
      </c>
      <c r="F15" s="37" t="n">
        <v>0.415278729556489</v>
      </c>
      <c r="G15" s="38" t="n">
        <v>2</v>
      </c>
      <c r="H15" s="38" t="n">
        <v>3</v>
      </c>
      <c r="I15" s="38" t="n">
        <v>6</v>
      </c>
      <c r="J15" s="38" t="n">
        <v>200</v>
      </c>
      <c r="K15" s="38" t="n">
        <v>130</v>
      </c>
      <c r="L15" s="36" t="n">
        <v>0.95</v>
      </c>
      <c r="M15" s="39" t="n">
        <v>1.508333333333335</v>
      </c>
      <c r="N15" s="39" t="n">
        <v>49.06898016409046</v>
      </c>
      <c r="O15" s="36" t="n">
        <v>1.64356549059621</v>
      </c>
      <c r="P15" s="38" t="n">
        <v>452.0472789719814</v>
      </c>
      <c r="Q15" s="38" t="n">
        <v>449.1503909301199</v>
      </c>
      <c r="R15" s="40" t="n">
        <v>395.1109353672865</v>
      </c>
    </row>
    <row r="16" ht="19" customHeight="1">
      <c r="A16" s="26" t="n">
        <v>3</v>
      </c>
      <c r="B16" s="20" t="inlineStr">
        <is>
          <t>Achtkant</t>
        </is>
      </c>
      <c r="C16" s="21" t="n">
        <v>120</v>
      </c>
      <c r="D16" s="27" t="n">
        <v>1053.399387742799</v>
      </c>
      <c r="E16" s="28" t="n">
        <v>1.4166739306981</v>
      </c>
      <c r="F16" s="29" t="n">
        <v>0.3483118218066703</v>
      </c>
      <c r="G16" s="30" t="n">
        <v>4</v>
      </c>
      <c r="H16" s="30" t="n">
        <v>4</v>
      </c>
      <c r="I16" s="30" t="n">
        <v>16</v>
      </c>
      <c r="J16" s="30" t="n">
        <v>200</v>
      </c>
      <c r="K16" s="30" t="n">
        <v>49.70562748477142</v>
      </c>
      <c r="L16" s="28" t="n">
        <v>1.12309703885628</v>
      </c>
      <c r="M16" s="31" t="n">
        <v>3.307825877028332</v>
      </c>
      <c r="N16" s="31" t="n">
        <v>53.59538801410623</v>
      </c>
      <c r="O16" s="28" t="n">
        <v>0.6923050227491048</v>
      </c>
      <c r="P16" s="30" t="n">
        <v>430.4238246195362</v>
      </c>
      <c r="Q16" s="30" t="n">
        <v>429.5171660558464</v>
      </c>
      <c r="R16" s="40" t="n">
        <v>384.5274973557209</v>
      </c>
    </row>
    <row r="17" ht="19" customHeight="1">
      <c r="A17" s="41" t="n">
        <v>4</v>
      </c>
      <c r="B17" s="42" t="inlineStr">
        <is>
          <t>Rund</t>
        </is>
      </c>
      <c r="C17" s="43" t="n">
        <v>110</v>
      </c>
      <c r="D17" s="44" t="n">
        <v>1322.314049586777</v>
      </c>
      <c r="E17" s="45" t="n">
        <v>1.255282720849308</v>
      </c>
      <c r="F17" s="46" t="n">
        <v>0.2273608227901525</v>
      </c>
      <c r="G17" s="47" t="n">
        <v>4</v>
      </c>
      <c r="H17" s="47" t="n">
        <v>6</v>
      </c>
      <c r="I17" s="47" t="n">
        <v>24</v>
      </c>
      <c r="J17" s="47" t="n">
        <v>200</v>
      </c>
      <c r="K17" s="47" t="n">
        <v>62.61839828985563</v>
      </c>
      <c r="L17" s="45" t="n">
        <v>0.6143585254742977</v>
      </c>
      <c r="M17" s="48" t="n">
        <v>5.720235953884712</v>
      </c>
      <c r="N17" s="48" t="n">
        <v>61.1948255753323</v>
      </c>
      <c r="O17" s="45" t="n">
        <v>1.00587951480303</v>
      </c>
      <c r="P17" s="47" t="n">
        <v>401.7797339938006</v>
      </c>
      <c r="Q17" s="47" t="n">
        <v>401.0245364372265</v>
      </c>
      <c r="R17" s="49" t="n">
        <v>367.5680376139869</v>
      </c>
    </row>
    <row r="18" ht="6" customHeight="1"/>
    <row r="19" ht="36" customHeight="1">
      <c r="A19" s="50" t="inlineStr">
        <is>
          <t>Blau: Eingabe im Programm, schwarz: berechnet. Stich 0 ist der Rohblock nach dem Transport zur Presse. Maß: Durchmesser D (Rund), Kantenlänge a (Vierkant) oder Schlüsselweite SW (Achtkant). Kern und Oberfläche am Stichende, Oberfläche als Mittel über den Umfang; Kontaktzone: niedrigste Temperatur der Kontaktfläche am Hubende. Rot: Grenzwert überschritten, orange: Mindesttemperatur unterschritten. Alle Werte sind Ergebnisse des Programms; Änderungen in dieser Datei werden nicht nachgerechnet.</t>
        </is>
      </c>
    </row>
    <row r="20" ht="8" customHeight="1"/>
    <row r="21" ht="18" customHeight="1">
      <c r="A21" s="51" t="inlineStr">
        <is>
          <t>Stich 2: Kontaktzone kühlt am Hubende auf 395 °C (Grenze 400 °C).</t>
        </is>
      </c>
      <c r="B21" s="52" t="n"/>
      <c r="C21" s="52" t="n"/>
      <c r="D21" s="52" t="n"/>
      <c r="E21" s="52" t="n"/>
      <c r="F21" s="52" t="n"/>
      <c r="G21" s="52" t="n"/>
      <c r="H21" s="52" t="n"/>
      <c r="I21" s="52" t="n"/>
      <c r="J21" s="52" t="n"/>
      <c r="K21" s="52" t="n"/>
      <c r="L21" s="52" t="n"/>
      <c r="M21" s="52" t="n"/>
      <c r="N21" s="52" t="n"/>
      <c r="O21" s="52" t="n"/>
      <c r="P21" s="52" t="n"/>
      <c r="Q21" s="52" t="n"/>
      <c r="R21" s="52" t="n"/>
    </row>
    <row r="22" ht="18" customHeight="1">
      <c r="A22" s="51" t="inlineStr">
        <is>
          <t>Stich 3: Kontaktzone kühlt am Hubende auf 385 °C (Grenze 400 °C).</t>
        </is>
      </c>
      <c r="B22" s="52" t="n"/>
      <c r="C22" s="52" t="n"/>
      <c r="D22" s="52" t="n"/>
      <c r="E22" s="52" t="n"/>
      <c r="F22" s="52" t="n"/>
      <c r="G22" s="52" t="n"/>
      <c r="H22" s="52" t="n"/>
      <c r="I22" s="52" t="n"/>
      <c r="J22" s="52" t="n"/>
      <c r="K22" s="52" t="n"/>
      <c r="L22" s="52" t="n"/>
      <c r="M22" s="52" t="n"/>
      <c r="N22" s="52" t="n"/>
      <c r="O22" s="52" t="n"/>
      <c r="P22" s="52" t="n"/>
      <c r="Q22" s="52" t="n"/>
      <c r="R22" s="52" t="n"/>
    </row>
    <row r="23" ht="18" customHeight="1">
      <c r="A23" s="51" t="inlineStr">
        <is>
          <t>Stich 4: Kontaktzone kühlt am Hubende auf 368 °C (Grenze 400 °C).</t>
        </is>
      </c>
      <c r="B23" s="52" t="n"/>
      <c r="C23" s="52" t="n"/>
      <c r="D23" s="52" t="n"/>
      <c r="E23" s="52" t="n"/>
      <c r="F23" s="52" t="n"/>
      <c r="G23" s="52" t="n"/>
      <c r="H23" s="52" t="n"/>
      <c r="I23" s="52" t="n"/>
      <c r="J23" s="52" t="n"/>
      <c r="K23" s="52" t="n"/>
      <c r="L23" s="52" t="n"/>
      <c r="M23" s="52" t="n"/>
      <c r="N23" s="52" t="n"/>
      <c r="O23" s="52" t="n"/>
      <c r="P23" s="52" t="n"/>
      <c r="Q23" s="52" t="n"/>
      <c r="R23" s="52" t="n"/>
    </row>
  </sheetData>
  <mergeCells count="38">
    <mergeCell ref="P11:R11"/>
    <mergeCell ref="P8:R8"/>
    <mergeCell ref="N11:O11"/>
    <mergeCell ref="I6:M6"/>
    <mergeCell ref="A6:B6"/>
    <mergeCell ref="A21:R21"/>
    <mergeCell ref="A8:C8"/>
    <mergeCell ref="B11:F11"/>
    <mergeCell ref="C6:F6"/>
    <mergeCell ref="D9:F9"/>
    <mergeCell ref="M8:O8"/>
    <mergeCell ref="G6:H6"/>
    <mergeCell ref="A23:R23"/>
    <mergeCell ref="N5:O5"/>
    <mergeCell ref="C5:F5"/>
    <mergeCell ref="D8:F8"/>
    <mergeCell ref="G11:M11"/>
    <mergeCell ref="A22:R22"/>
    <mergeCell ref="P5:R5"/>
    <mergeCell ref="C4:F4"/>
    <mergeCell ref="A19:R19"/>
    <mergeCell ref="A5:B5"/>
    <mergeCell ref="G5:H5"/>
    <mergeCell ref="A9:C9"/>
    <mergeCell ref="G9:I9"/>
    <mergeCell ref="J8:L8"/>
    <mergeCell ref="I5:M5"/>
    <mergeCell ref="P4:R4"/>
    <mergeCell ref="A4:B4"/>
    <mergeCell ref="G4:H4"/>
    <mergeCell ref="I4:M4"/>
    <mergeCell ref="N6:O6"/>
    <mergeCell ref="M9:O9"/>
    <mergeCell ref="G8:I8"/>
    <mergeCell ref="P9:R9"/>
    <mergeCell ref="J9:L9"/>
    <mergeCell ref="P6:R6"/>
    <mergeCell ref="N4:O4"/>
  </mergeCells>
  <printOptions horizontalCentered="1"/>
  <pageMargins left="0.5" right="0.5" top="0.6" bottom="0.7" header="0.3" footer="0.3"/>
  <pageSetup orientation="landscape" paperSize="9" fitToHeight="0" fitToWidth="1"/>
  <headerFooter>
    <oddHeader/>
    <oddFooter>&amp;L&amp;"Arial,Regular"&amp;8 Stichplan EN AW-6082&amp;R&amp;"Arial,Regular"&amp;8 Seite &amp;P von &amp;N</oddFooter>
    <evenHeader/>
    <evenFooter/>
    <firstHeader/>
    <firstFooter/>
  </headerFooter>
  <rowBreaks count="1" manualBreakCount="1">
    <brk id="24" min="0" max="16383" man="1"/>
  </rowBreaks>
  <drawing xmlns:r="http://schemas.openxmlformats.org/officeDocument/2006/relationships" r:id="rId1"/>
</worksheet>
</file>

<file path=xl/worksheets/sheet2.xml><?xml version="1.0" encoding="utf-8"?>
<worksheet xmlns="http://schemas.openxmlformats.org/spreadsheetml/2006/main">
  <sheetPr>
    <tabColor rgb="008F9BA6"/>
    <outlinePr summaryBelow="1" summaryRight="1"/>
    <pageSetUpPr fitToPage="1"/>
  </sheetPr>
  <dimension ref="A1:AE1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5" customWidth="1" min="1" max="1"/>
    <col width="11" customWidth="1" min="2" max="2"/>
    <col width="8.5" customWidth="1" min="3" max="3"/>
    <col width="8.5" customWidth="1" min="4" max="4"/>
    <col width="11" customWidth="1" min="5" max="5"/>
    <col width="10.5" customWidth="1" min="6" max="6"/>
    <col width="8" customWidth="1" min="7" max="7"/>
    <col width="9" customWidth="1" min="8" max="8"/>
    <col width="7" customWidth="1" min="9" max="9"/>
    <col width="7" customWidth="1" min="10" max="10"/>
    <col width="7" customWidth="1" min="11" max="11"/>
    <col width="9.5" customWidth="1" min="12" max="12"/>
    <col width="9.5" customWidth="1" min="13" max="13"/>
    <col width="7" customWidth="1" min="14" max="14"/>
    <col width="10" customWidth="1" min="15" max="15"/>
    <col width="13" customWidth="1" min="16" max="16"/>
    <col width="8.5" customWidth="1" min="17" max="17"/>
    <col width="10.5" customWidth="1" min="18" max="18"/>
    <col width="7.5" customWidth="1" min="19" max="19"/>
    <col width="7.5" customWidth="1" min="20" max="20"/>
    <col width="10" customWidth="1" min="21" max="21"/>
    <col width="10.5" customWidth="1" min="22" max="22"/>
    <col width="9.5" customWidth="1" min="23" max="23"/>
    <col width="9.5" customWidth="1" min="24" max="24"/>
    <col width="10" customWidth="1" min="25" max="25"/>
    <col width="7.5" customWidth="1" min="26" max="26"/>
    <col width="7.5" customWidth="1" min="27" max="27"/>
    <col width="7.5" customWidth="1" min="28" max="28"/>
    <col width="10.5" customWidth="1" min="29" max="29"/>
    <col width="8" customWidth="1" min="30" max="30"/>
    <col width="11.5" customWidth="1" min="31" max="31"/>
  </cols>
  <sheetData>
    <row r="1" ht="24" customHeight="1">
      <c r="A1" s="53" t="inlineStr">
        <is>
          <t>Stichplan EN AW-6082: alle Werte je Stich</t>
        </is>
      </c>
    </row>
    <row r="2">
      <c r="A2" s="54" t="inlineStr">
        <is>
          <t>Die Änderung der Mitteltemperatur je Stich setzt sich aus Umformwärme, Wärmeabfuhr in die Sättel und Abkühlung an Luft zusammen. Weitere Erläuterungen auf dem Blatt „Parameter“.</t>
        </is>
      </c>
    </row>
    <row r="4">
      <c r="B4" s="16" t="inlineStr">
        <is>
          <t>Geometrie</t>
        </is>
      </c>
      <c r="C4" s="17" t="n"/>
      <c r="D4" s="17" t="n"/>
      <c r="E4" s="17" t="n"/>
      <c r="F4" s="17" t="n"/>
      <c r="G4" s="17" t="n"/>
      <c r="H4" s="17" t="n"/>
      <c r="I4" s="16" t="inlineStr">
        <is>
          <t>Ablauf und Kontakt</t>
        </is>
      </c>
      <c r="J4" s="17" t="n"/>
      <c r="K4" s="17" t="n"/>
      <c r="L4" s="17" t="n"/>
      <c r="M4" s="17" t="n"/>
      <c r="N4" s="17" t="n"/>
      <c r="O4" s="17" t="n"/>
      <c r="P4" s="17" t="n"/>
      <c r="Q4" s="17" t="n"/>
      <c r="R4" s="17" t="n"/>
      <c r="S4" s="17" t="n"/>
      <c r="T4" s="16" t="inlineStr">
        <is>
          <t>Kraft</t>
        </is>
      </c>
      <c r="U4" s="17" t="n"/>
      <c r="V4" s="16" t="inlineStr">
        <is>
          <t>Zeit</t>
        </is>
      </c>
      <c r="W4" s="17" t="n"/>
      <c r="X4" s="16" t="inlineStr">
        <is>
          <t>Änderung der Mitteltemperatur</t>
        </is>
      </c>
      <c r="Y4" s="17" t="n"/>
      <c r="Z4" s="17" t="n"/>
      <c r="AA4" s="17" t="n"/>
      <c r="AB4" s="16" t="inlineStr">
        <is>
          <t>Temperatur am Stichende</t>
        </is>
      </c>
      <c r="AC4" s="17" t="n"/>
      <c r="AD4" s="17" t="n"/>
      <c r="AE4" s="17" t="n"/>
    </row>
    <row r="5" ht="30" customHeight="1">
      <c r="A5" s="18" t="inlineStr">
        <is>
          <t>Stich</t>
        </is>
      </c>
      <c r="B5" s="18" t="inlineStr">
        <is>
          <t>Form</t>
        </is>
      </c>
      <c r="C5" s="18" t="inlineStr">
        <is>
          <t>Maß
[mm]</t>
        </is>
      </c>
      <c r="D5" s="18" t="inlineStr">
        <is>
          <t>Länge
[mm]</t>
        </is>
      </c>
      <c r="E5" s="18" t="inlineStr">
        <is>
          <t>Querschnitt
[cm²]</t>
        </is>
      </c>
      <c r="F5" s="18" t="inlineStr">
        <is>
          <t>Verschmie-
dungsgrad</t>
        </is>
      </c>
      <c r="G5" s="18" t="inlineStr">
        <is>
          <t>φ Stich
[–]</t>
        </is>
      </c>
      <c r="H5" s="18" t="inlineStr">
        <is>
          <t>φ gesamt
[–]</t>
        </is>
      </c>
      <c r="I5" s="18" t="inlineStr">
        <is>
          <t>Dreh-
lagen</t>
        </is>
      </c>
      <c r="J5" s="18" t="inlineStr">
        <is>
          <t>Bisse</t>
        </is>
      </c>
      <c r="K5" s="18" t="inlineStr">
        <is>
          <t>Hübe</t>
        </is>
      </c>
      <c r="L5" s="18" t="inlineStr">
        <is>
          <t>Bisslänge
s_B [mm]</t>
        </is>
      </c>
      <c r="M5" s="18" t="inlineStr">
        <is>
          <t>Vorschub
[mm]</t>
        </is>
      </c>
      <c r="N5" s="18" t="inlineStr">
        <is>
          <t>s_B/h
[–]</t>
        </is>
      </c>
      <c r="O5" s="18" t="inlineStr">
        <is>
          <t>Kontakt-
breite [mm]</t>
        </is>
      </c>
      <c r="P5" s="18" t="inlineStr">
        <is>
          <t>Kontaktfläche
je Sattel [cm²]</t>
        </is>
      </c>
      <c r="Q5" s="18" t="inlineStr">
        <is>
          <t>Hubweg
[mm]</t>
        </is>
      </c>
      <c r="R5" s="18" t="inlineStr">
        <is>
          <t>Kontaktzeit
[s]</t>
        </is>
      </c>
      <c r="S5" s="18" t="inlineStr">
        <is>
          <t>φ̇
[1/s]</t>
        </is>
      </c>
      <c r="T5" s="18" t="inlineStr">
        <is>
          <t>k_f
[MPa]</t>
        </is>
      </c>
      <c r="U5" s="18" t="inlineStr">
        <is>
          <t>Presskraft
[MN]</t>
        </is>
      </c>
      <c r="V5" s="18" t="inlineStr">
        <is>
          <t>Stichdauer
[s]</t>
        </is>
      </c>
      <c r="W5" s="18" t="inlineStr">
        <is>
          <t>Stichende
[min]</t>
        </is>
      </c>
      <c r="X5" s="18" t="inlineStr">
        <is>
          <t>Umform-
wärme [K]</t>
        </is>
      </c>
      <c r="Y5" s="18" t="inlineStr">
        <is>
          <t>Sattel-
kontakt [K]</t>
        </is>
      </c>
      <c r="Z5" s="18" t="inlineStr">
        <is>
          <t>Luft
[K]</t>
        </is>
      </c>
      <c r="AA5" s="18" t="inlineStr">
        <is>
          <t>Summe
[K]</t>
        </is>
      </c>
      <c r="AB5" s="18" t="inlineStr">
        <is>
          <t>Kern
[°C]</t>
        </is>
      </c>
      <c r="AC5" s="18" t="inlineStr">
        <is>
          <t>Oberfläche
[°C]</t>
        </is>
      </c>
      <c r="AD5" s="18" t="inlineStr">
        <is>
          <t>Mittel
[°C]</t>
        </is>
      </c>
      <c r="AE5" s="18" t="inlineStr">
        <is>
          <t>Kontaktzone
min. [°C]</t>
        </is>
      </c>
    </row>
    <row r="6" ht="19" customHeight="1">
      <c r="A6" s="19" t="n">
        <v>0</v>
      </c>
      <c r="B6" s="20" t="inlineStr">
        <is>
          <t>Rund</t>
        </is>
      </c>
      <c r="C6" s="21" t="n">
        <v>200</v>
      </c>
      <c r="D6" s="22" t="n">
        <v>400</v>
      </c>
      <c r="E6" s="24" t="n">
        <v>314.1592653589793</v>
      </c>
      <c r="F6" s="23" t="n"/>
      <c r="G6" s="23" t="n"/>
      <c r="H6" s="23" t="n"/>
      <c r="I6" s="23" t="n"/>
      <c r="J6" s="23" t="n"/>
      <c r="K6" s="23" t="n"/>
      <c r="L6" s="23" t="n"/>
      <c r="M6" s="23" t="n"/>
      <c r="N6" s="23" t="n"/>
      <c r="O6" s="23" t="n"/>
      <c r="P6" s="23" t="n"/>
      <c r="Q6" s="23" t="n"/>
      <c r="R6" s="23" t="n"/>
      <c r="S6" s="23" t="n"/>
      <c r="T6" s="23" t="n"/>
      <c r="U6" s="23" t="n"/>
      <c r="V6" s="23" t="n"/>
      <c r="W6" s="55" t="n">
        <v>0.3333333333333333</v>
      </c>
      <c r="X6" s="23" t="n"/>
      <c r="Y6" s="23" t="n"/>
      <c r="Z6" s="23" t="n"/>
      <c r="AA6" s="23" t="n"/>
      <c r="AB6" s="24" t="n">
        <v>479.6929161987432</v>
      </c>
      <c r="AC6" s="24" t="n">
        <v>478.1298163474837</v>
      </c>
      <c r="AD6" s="24" t="n">
        <v>478.9531969708502</v>
      </c>
      <c r="AE6" s="23" t="n"/>
    </row>
    <row r="7" ht="19" customHeight="1">
      <c r="A7" s="26" t="n">
        <v>1</v>
      </c>
      <c r="B7" s="20" t="inlineStr">
        <is>
          <t>Vierkant</t>
        </is>
      </c>
      <c r="C7" s="21" t="n">
        <v>160</v>
      </c>
      <c r="D7" s="27" t="n">
        <v>490.8738521234052</v>
      </c>
      <c r="E7" s="31" t="n">
        <v>256</v>
      </c>
      <c r="F7" s="29" t="n">
        <v>1.227184630308513</v>
      </c>
      <c r="G7" s="29" t="n">
        <v>0.2047226273579291</v>
      </c>
      <c r="H7" s="29" t="n">
        <v>0.2047226273579291</v>
      </c>
      <c r="I7" s="30" t="n">
        <v>2</v>
      </c>
      <c r="J7" s="30" t="n">
        <v>2</v>
      </c>
      <c r="K7" s="30" t="n">
        <v>4</v>
      </c>
      <c r="L7" s="31" t="n">
        <v>200</v>
      </c>
      <c r="M7" s="31" t="n">
        <v>245.4369260617026</v>
      </c>
      <c r="N7" s="28" t="n">
        <v>1</v>
      </c>
      <c r="O7" s="31" t="n">
        <v>160</v>
      </c>
      <c r="P7" s="31" t="n">
        <v>320</v>
      </c>
      <c r="Q7" s="31" t="n">
        <v>40</v>
      </c>
      <c r="R7" s="29" t="n">
        <v>1.2</v>
      </c>
      <c r="S7" s="29" t="n">
        <v>0.2222222222222222</v>
      </c>
      <c r="T7" s="31" t="n">
        <v>45.10016030055964</v>
      </c>
      <c r="U7" s="29" t="n">
        <v>1.823173980150123</v>
      </c>
      <c r="V7" s="30" t="n">
        <v>24.80000000000006</v>
      </c>
      <c r="W7" s="28" t="n">
        <v>0.7466666666666677</v>
      </c>
      <c r="X7" s="56" t="n">
        <v>4.479225038433759</v>
      </c>
      <c r="Y7" s="56" t="n">
        <v>-20.11127073403226</v>
      </c>
      <c r="Z7" s="56" t="n">
        <v>-1.102351766672079</v>
      </c>
      <c r="AA7" s="56" t="n">
        <v>-16.73439746227058</v>
      </c>
      <c r="AB7" s="31" t="n">
        <v>480.1684690072755</v>
      </c>
      <c r="AC7" s="31" t="n">
        <v>429.2811345806404</v>
      </c>
      <c r="AD7" s="31" t="n">
        <v>462.2187995085797</v>
      </c>
      <c r="AE7" s="31" t="n">
        <v>401.1159479562924</v>
      </c>
    </row>
    <row r="8" ht="19" customHeight="1">
      <c r="A8" s="32" t="n">
        <v>2</v>
      </c>
      <c r="B8" s="33" t="inlineStr">
        <is>
          <t>Vierkant</t>
        </is>
      </c>
      <c r="C8" s="34" t="n">
        <v>130</v>
      </c>
      <c r="D8" s="35" t="n">
        <v>743.5722257017262</v>
      </c>
      <c r="E8" s="39" t="n">
        <v>169</v>
      </c>
      <c r="F8" s="37" t="n">
        <v>1.514792899408284</v>
      </c>
      <c r="G8" s="37" t="n">
        <v>0.415278729556489</v>
      </c>
      <c r="H8" s="37" t="n">
        <v>0.620001356914418</v>
      </c>
      <c r="I8" s="38" t="n">
        <v>2</v>
      </c>
      <c r="J8" s="38" t="n">
        <v>3</v>
      </c>
      <c r="K8" s="38" t="n">
        <v>6</v>
      </c>
      <c r="L8" s="39" t="n">
        <v>200</v>
      </c>
      <c r="M8" s="39" t="n">
        <v>302.9585798816568</v>
      </c>
      <c r="N8" s="36" t="n">
        <v>1.25</v>
      </c>
      <c r="O8" s="39" t="n">
        <v>130</v>
      </c>
      <c r="P8" s="39" t="n">
        <v>260</v>
      </c>
      <c r="Q8" s="39" t="n">
        <v>30</v>
      </c>
      <c r="R8" s="37" t="n">
        <v>0.95</v>
      </c>
      <c r="S8" s="37" t="n">
        <v>0.2758620689655172</v>
      </c>
      <c r="T8" s="39" t="n">
        <v>49.06898016409046</v>
      </c>
      <c r="U8" s="37" t="n">
        <v>1.64356549059621</v>
      </c>
      <c r="V8" s="38" t="n">
        <v>35.70000000000002</v>
      </c>
      <c r="W8" s="36" t="n">
        <v>1.508333333333335</v>
      </c>
      <c r="X8" s="57" t="n">
        <v>9.964559434477156</v>
      </c>
      <c r="Y8" s="57" t="n">
        <v>-19.21997364781707</v>
      </c>
      <c r="Z8" s="57" t="n">
        <v>-2.151918074001976</v>
      </c>
      <c r="AA8" s="57" t="n">
        <v>-11.40733228734189</v>
      </c>
      <c r="AB8" s="39" t="n">
        <v>452.0472789719814</v>
      </c>
      <c r="AC8" s="39" t="n">
        <v>449.1503909301199</v>
      </c>
      <c r="AD8" s="39" t="n">
        <v>450.2061944896204</v>
      </c>
      <c r="AE8" s="58" t="n">
        <v>395.1109353672865</v>
      </c>
    </row>
    <row r="9" ht="19" customHeight="1">
      <c r="A9" s="26" t="n">
        <v>3</v>
      </c>
      <c r="B9" s="20" t="inlineStr">
        <is>
          <t>Achtkant</t>
        </is>
      </c>
      <c r="C9" s="21" t="n">
        <v>120</v>
      </c>
      <c r="D9" s="27" t="n">
        <v>1053.399387742799</v>
      </c>
      <c r="E9" s="31" t="n">
        <v>119.2935059634514</v>
      </c>
      <c r="F9" s="29" t="n">
        <v>1.4166739306981</v>
      </c>
      <c r="G9" s="29" t="n">
        <v>0.3483118218066703</v>
      </c>
      <c r="H9" s="29" t="n">
        <v>0.9683131787210884</v>
      </c>
      <c r="I9" s="30" t="n">
        <v>4</v>
      </c>
      <c r="J9" s="30" t="n">
        <v>4</v>
      </c>
      <c r="K9" s="30" t="n">
        <v>16</v>
      </c>
      <c r="L9" s="31" t="n">
        <v>200</v>
      </c>
      <c r="M9" s="31" t="n">
        <v>283.3347861396201</v>
      </c>
      <c r="N9" s="28" t="n">
        <v>1.274503268840292</v>
      </c>
      <c r="O9" s="31" t="n">
        <v>49.70562748477142</v>
      </c>
      <c r="P9" s="31" t="n">
        <v>99.41125496954284</v>
      </c>
      <c r="Q9" s="31" t="n">
        <v>36.92388155425118</v>
      </c>
      <c r="R9" s="29" t="n">
        <v>1.12309703885628</v>
      </c>
      <c r="S9" s="29" t="n">
        <v>0.2888880494921399</v>
      </c>
      <c r="T9" s="31" t="n">
        <v>53.59538801410623</v>
      </c>
      <c r="U9" s="29" t="n">
        <v>0.6923050227491048</v>
      </c>
      <c r="V9" s="30" t="n">
        <v>97.96955262169985</v>
      </c>
      <c r="W9" s="28" t="n">
        <v>3.307825877028332</v>
      </c>
      <c r="X9" s="56" t="n">
        <v>9.00990679929475</v>
      </c>
      <c r="Y9" s="56" t="n">
        <v>-21.50621959375434</v>
      </c>
      <c r="Z9" s="56" t="n">
        <v>-7.006312791073061</v>
      </c>
      <c r="AA9" s="56" t="n">
        <v>-19.50262558553266</v>
      </c>
      <c r="AB9" s="31" t="n">
        <v>430.4238246195362</v>
      </c>
      <c r="AC9" s="31" t="n">
        <v>429.5171660558464</v>
      </c>
      <c r="AD9" s="31" t="n">
        <v>429.9701276999362</v>
      </c>
      <c r="AE9" s="58" t="n">
        <v>384.5274973557209</v>
      </c>
    </row>
    <row r="10" ht="19" customHeight="1">
      <c r="A10" s="41" t="n">
        <v>4</v>
      </c>
      <c r="B10" s="42" t="inlineStr">
        <is>
          <t>Rund</t>
        </is>
      </c>
      <c r="C10" s="43" t="n">
        <v>110</v>
      </c>
      <c r="D10" s="44" t="n">
        <v>1322.314049586777</v>
      </c>
      <c r="E10" s="48" t="n">
        <v>95.03317777109125</v>
      </c>
      <c r="F10" s="46" t="n">
        <v>1.255282720849308</v>
      </c>
      <c r="G10" s="46" t="n">
        <v>0.2273608227901525</v>
      </c>
      <c r="H10" s="46" t="n">
        <v>1.195674001511241</v>
      </c>
      <c r="I10" s="47" t="n">
        <v>4</v>
      </c>
      <c r="J10" s="47" t="n">
        <v>6</v>
      </c>
      <c r="K10" s="47" t="n">
        <v>24</v>
      </c>
      <c r="L10" s="48" t="n">
        <v>200</v>
      </c>
      <c r="M10" s="48" t="n">
        <v>251.0565441698616</v>
      </c>
      <c r="N10" s="45" t="n">
        <v>1.580099081614199</v>
      </c>
      <c r="O10" s="48" t="n">
        <v>62.61839828985563</v>
      </c>
      <c r="P10" s="48" t="n">
        <v>125.2367965797112</v>
      </c>
      <c r="Q10" s="48" t="n">
        <v>16.57434101897191</v>
      </c>
      <c r="R10" s="46" t="n">
        <v>0.6143585254742977</v>
      </c>
      <c r="S10" s="46" t="n">
        <v>0.3381600880950333</v>
      </c>
      <c r="T10" s="48" t="n">
        <v>61.1948255753323</v>
      </c>
      <c r="U10" s="46" t="n">
        <v>1.00587951480303</v>
      </c>
      <c r="V10" s="47" t="n">
        <v>134.7446046113828</v>
      </c>
      <c r="W10" s="45" t="n">
        <v>5.720235953884712</v>
      </c>
      <c r="X10" s="59" t="n">
        <v>6.668112637489961</v>
      </c>
      <c r="Y10" s="59" t="n">
        <v>-24.82667679679768</v>
      </c>
      <c r="Z10" s="59" t="n">
        <v>-9.665025780691632</v>
      </c>
      <c r="AA10" s="59" t="n">
        <v>-27.82358993999935</v>
      </c>
      <c r="AB10" s="48" t="n">
        <v>401.7797339938006</v>
      </c>
      <c r="AC10" s="48" t="n">
        <v>401.0245364372265</v>
      </c>
      <c r="AD10" s="48" t="n">
        <v>401.4018441747363</v>
      </c>
      <c r="AE10" s="60" t="n">
        <v>367.5680376139869</v>
      </c>
    </row>
    <row r="12">
      <c r="A12" s="61" t="inlineStr">
        <is>
          <t>Blau: Eingabe im Programm, schwarz: berechnet. Stich 0 ist der Rohblock nach dem Transport zur Presse. Kontaktfläche je Sattel = Bisslänge × Kontaktbreite.</t>
        </is>
      </c>
    </row>
  </sheetData>
  <mergeCells count="6">
    <mergeCell ref="V4:W4"/>
    <mergeCell ref="I4:S4"/>
    <mergeCell ref="B4:H4"/>
    <mergeCell ref="X4:AA4"/>
    <mergeCell ref="AB4:AE4"/>
    <mergeCell ref="T4:U4"/>
  </mergeCells>
  <printOptions horizontalCentered="1"/>
  <pageMargins left="0.5" right="0.5" top="0.6" bottom="0.7" header="0.3" footer="0.3"/>
  <pageSetup orientation="landscape" paperSize="9" fitToHeight="0" fitToWidth="1"/>
  <headerFooter>
    <oddHeader/>
    <oddFooter>&amp;L&amp;"Arial,Regular"&amp;8 Stichplan EN AW-6082&amp;R&amp;"Arial,Regular"&amp;8 Seite &amp;P von &amp;N</oddFooter>
    <evenHeader/>
    <evenFooter/>
    <firstHeader/>
    <firstFooter/>
  </headerFooter>
</worksheet>
</file>

<file path=xl/worksheets/sheet3.xml><?xml version="1.0" encoding="utf-8"?>
<worksheet xmlns="http://schemas.openxmlformats.org/spreadsheetml/2006/main">
  <sheetPr>
    <tabColor rgb="008F9BA6"/>
    <outlinePr summaryBelow="1" summaryRight="1"/>
    <pageSetUpPr fitToPage="1"/>
  </sheetPr>
  <dimension ref="A1:D74"/>
  <sheetViews>
    <sheetView showGridLines="0" workbookViewId="0">
      <selection activeCell="A1" sqref="A1"/>
    </sheetView>
  </sheetViews>
  <sheetFormatPr baseColWidth="8" defaultRowHeight="15"/>
  <cols>
    <col width="36" customWidth="1" min="1" max="1"/>
    <col width="14" customWidth="1" min="2" max="2"/>
    <col width="13" customWidth="1" min="3" max="3"/>
    <col width="62" customWidth="1" min="4" max="4"/>
  </cols>
  <sheetData>
    <row r="1" ht="24" customHeight="1">
      <c r="A1" s="53" t="inlineStr">
        <is>
          <t>Stichplan EN AW-6082: Parameter und Rechenmodell</t>
        </is>
      </c>
    </row>
    <row r="2">
      <c r="A2" s="54" t="inlineStr">
        <is>
          <t>Eingaben sind blau, feste Konstanten des Rechenmodells schwarz.</t>
        </is>
      </c>
    </row>
    <row r="4" ht="8" customHeight="1"/>
    <row r="5" ht="20" customHeight="1">
      <c r="A5" s="62" t="inlineStr">
        <is>
          <t>Werkstoff</t>
        </is>
      </c>
      <c r="B5" s="63" t="inlineStr">
        <is>
          <t>Wert</t>
        </is>
      </c>
      <c r="C5" s="64" t="inlineStr">
        <is>
          <t>Einheit</t>
        </is>
      </c>
      <c r="D5" s="64" t="inlineStr">
        <is>
          <t>Hinweis</t>
        </is>
      </c>
    </row>
    <row r="6" ht="17" customHeight="1">
      <c r="A6" s="65" t="inlineStr">
        <is>
          <t>Bezeichnung</t>
        </is>
      </c>
      <c r="B6" s="66" t="inlineStr">
        <is>
          <t>EN AW-6082</t>
        </is>
      </c>
      <c r="C6" s="67" t="inlineStr"/>
      <c r="D6" s="68" t="inlineStr"/>
    </row>
    <row r="7" ht="17" customHeight="1">
      <c r="A7" s="65" t="inlineStr">
        <is>
          <t>Dichte ρ</t>
        </is>
      </c>
      <c r="B7" s="22" t="n">
        <v>2700</v>
      </c>
      <c r="C7" s="67" t="inlineStr">
        <is>
          <t>kg/m³</t>
        </is>
      </c>
      <c r="D7" s="68" t="inlineStr"/>
    </row>
    <row r="8" ht="17" customHeight="1">
      <c r="A8" s="65" t="inlineStr">
        <is>
          <t>Wärmekapazität c_p</t>
        </is>
      </c>
      <c r="B8" s="22" t="n">
        <v>900</v>
      </c>
      <c r="C8" s="67" t="inlineStr">
        <is>
          <t>J/(kg K)</t>
        </is>
      </c>
      <c r="D8" s="68" t="inlineStr"/>
    </row>
    <row r="9" ht="17" customHeight="1">
      <c r="A9" s="65" t="inlineStr">
        <is>
          <t>Wärmeleitfähigkeit λ</t>
        </is>
      </c>
      <c r="B9" s="21" t="n">
        <v>180</v>
      </c>
      <c r="C9" s="67" t="inlineStr">
        <is>
          <t>W/(m K)</t>
        </is>
      </c>
      <c r="D9" s="68" t="inlineStr"/>
    </row>
    <row r="10" ht="17" customHeight="1">
      <c r="A10" s="65" t="inlineStr">
        <is>
          <t>Temperaturleitfähigkeit a = λ/(ρ c_p)</t>
        </is>
      </c>
      <c r="B10" s="31" t="n">
        <v>74.07407407407408</v>
      </c>
      <c r="C10" s="67" t="inlineStr">
        <is>
          <t>mm²/s</t>
        </is>
      </c>
      <c r="D10" s="68" t="inlineStr">
        <is>
          <t>berechnet</t>
        </is>
      </c>
    </row>
    <row r="11" ht="8" customHeight="1"/>
    <row r="12" ht="20" customHeight="1">
      <c r="A12" s="62" t="inlineStr">
        <is>
          <t>Rohblock</t>
        </is>
      </c>
      <c r="B12" s="63" t="inlineStr">
        <is>
          <t>Wert</t>
        </is>
      </c>
      <c r="C12" s="64" t="inlineStr">
        <is>
          <t>Einheit</t>
        </is>
      </c>
      <c r="D12" s="64" t="inlineStr">
        <is>
          <t>Hinweis</t>
        </is>
      </c>
    </row>
    <row r="13" ht="17" customHeight="1">
      <c r="A13" s="65" t="inlineStr">
        <is>
          <t>Form</t>
        </is>
      </c>
      <c r="B13" s="66" t="inlineStr">
        <is>
          <t>Rund</t>
        </is>
      </c>
      <c r="C13" s="67" t="inlineStr"/>
      <c r="D13" s="68" t="inlineStr"/>
    </row>
    <row r="14" ht="17" customHeight="1">
      <c r="A14" s="65" t="inlineStr">
        <is>
          <t>Durchmesser D</t>
        </is>
      </c>
      <c r="B14" s="21" t="n">
        <v>200</v>
      </c>
      <c r="C14" s="67" t="inlineStr">
        <is>
          <t>mm</t>
        </is>
      </c>
      <c r="D14" s="68" t="inlineStr"/>
    </row>
    <row r="15" ht="17" customHeight="1">
      <c r="A15" s="65" t="inlineStr">
        <is>
          <t>Länge L</t>
        </is>
      </c>
      <c r="B15" s="22" t="n">
        <v>400</v>
      </c>
      <c r="C15" s="67" t="inlineStr">
        <is>
          <t>mm</t>
        </is>
      </c>
      <c r="D15" s="68" t="inlineStr"/>
    </row>
    <row r="16" ht="17" customHeight="1">
      <c r="A16" s="65" t="inlineStr">
        <is>
          <t>Querschnitt A</t>
        </is>
      </c>
      <c r="B16" s="31" t="n">
        <v>314.1592653589793</v>
      </c>
      <c r="C16" s="67" t="inlineStr">
        <is>
          <t>cm²</t>
        </is>
      </c>
      <c r="D16" s="68" t="inlineStr">
        <is>
          <t>berechnet</t>
        </is>
      </c>
    </row>
    <row r="17" ht="17" customHeight="1">
      <c r="A17" s="65" t="inlineStr">
        <is>
          <t>Volumen V</t>
        </is>
      </c>
      <c r="B17" s="28" t="n">
        <v>12.56637061435917</v>
      </c>
      <c r="C17" s="67" t="inlineStr">
        <is>
          <t>dm³</t>
        </is>
      </c>
      <c r="D17" s="68" t="inlineStr">
        <is>
          <t>berechnet</t>
        </is>
      </c>
    </row>
    <row r="18" ht="17" customHeight="1">
      <c r="A18" s="65" t="inlineStr">
        <is>
          <t>Masse m</t>
        </is>
      </c>
      <c r="B18" s="31" t="n">
        <v>33.92920065876977</v>
      </c>
      <c r="C18" s="67" t="inlineStr">
        <is>
          <t>kg</t>
        </is>
      </c>
      <c r="D18" s="68" t="inlineStr">
        <is>
          <t>berechnet</t>
        </is>
      </c>
    </row>
    <row r="19" ht="8" customHeight="1"/>
    <row r="20" ht="20" customHeight="1">
      <c r="A20" s="62" t="inlineStr">
        <is>
          <t>Ablauf</t>
        </is>
      </c>
      <c r="B20" s="63" t="inlineStr">
        <is>
          <t>Wert</t>
        </is>
      </c>
      <c r="C20" s="64" t="inlineStr">
        <is>
          <t>Einheit</t>
        </is>
      </c>
      <c r="D20" s="64" t="inlineStr">
        <is>
          <t>Hinweis</t>
        </is>
      </c>
    </row>
    <row r="21" ht="17" customHeight="1">
      <c r="A21" s="65" t="inlineStr">
        <is>
          <t>Temperatur bei Ofenentnahme</t>
        </is>
      </c>
      <c r="B21" s="69" t="n">
        <v>480</v>
      </c>
      <c r="C21" s="67" t="inlineStr">
        <is>
          <t>°C</t>
        </is>
      </c>
      <c r="D21" s="68" t="inlineStr"/>
    </row>
    <row r="22" ht="17" customHeight="1">
      <c r="A22" s="65" t="inlineStr">
        <is>
          <t>Transport zur Presse</t>
        </is>
      </c>
      <c r="B22" s="69" t="n">
        <v>20</v>
      </c>
      <c r="C22" s="67" t="inlineStr">
        <is>
          <t>s</t>
        </is>
      </c>
      <c r="D22" s="68" t="inlineStr"/>
    </row>
    <row r="23" ht="17" customHeight="1">
      <c r="A23" s="65" t="inlineStr">
        <is>
          <t>Nebenzeit je Hub</t>
        </is>
      </c>
      <c r="B23" s="21" t="n">
        <v>5</v>
      </c>
      <c r="C23" s="67" t="inlineStr">
        <is>
          <t>s</t>
        </is>
      </c>
      <c r="D23" s="68" t="inlineStr">
        <is>
          <t>Lüften, Vorschub, Drehen, Anfahren; auf dem Untersattel</t>
        </is>
      </c>
    </row>
    <row r="24" ht="17" customHeight="1">
      <c r="A24" s="65" t="inlineStr">
        <is>
          <t>Pause zwischen Stichen</t>
        </is>
      </c>
      <c r="B24" s="69" t="n">
        <v>10</v>
      </c>
      <c r="C24" s="67" t="inlineStr">
        <is>
          <t>s</t>
        </is>
      </c>
      <c r="D24" s="68" t="inlineStr"/>
    </row>
    <row r="25" ht="8" customHeight="1"/>
    <row r="26" ht="20" customHeight="1">
      <c r="A26" s="62" t="inlineStr">
        <is>
          <t>Presse und Sättel</t>
        </is>
      </c>
      <c r="B26" s="63" t="inlineStr">
        <is>
          <t>Wert</t>
        </is>
      </c>
      <c r="C26" s="64" t="inlineStr">
        <is>
          <t>Einheit</t>
        </is>
      </c>
      <c r="D26" s="64" t="inlineStr">
        <is>
          <t>Hinweis</t>
        </is>
      </c>
    </row>
    <row r="27" ht="17" customHeight="1">
      <c r="A27" s="65" t="inlineStr">
        <is>
          <t>Hubgeschwindigkeit v</t>
        </is>
      </c>
      <c r="B27" s="21" t="n">
        <v>40</v>
      </c>
      <c r="C27" s="67" t="inlineStr">
        <is>
          <t>mm/s</t>
        </is>
      </c>
      <c r="D27" s="68" t="inlineStr"/>
    </row>
    <row r="28" ht="17" customHeight="1">
      <c r="A28" s="65" t="inlineStr">
        <is>
          <t>Verweilzeit unter Last</t>
        </is>
      </c>
      <c r="B28" s="70" t="n">
        <v>0.2</v>
      </c>
      <c r="C28" s="67" t="inlineStr">
        <is>
          <t>s</t>
        </is>
      </c>
      <c r="D28" s="68" t="inlineStr"/>
    </row>
    <row r="29" ht="17" customHeight="1">
      <c r="A29" s="65" t="inlineStr">
        <is>
          <t>Sattelbreite</t>
        </is>
      </c>
      <c r="B29" s="69" t="n">
        <v>200</v>
      </c>
      <c r="C29" s="67" t="inlineStr">
        <is>
          <t>mm</t>
        </is>
      </c>
      <c r="D29" s="68" t="inlineStr"/>
    </row>
    <row r="30" ht="17" customHeight="1">
      <c r="A30" s="65" t="inlineStr">
        <is>
          <t>Bisslänge</t>
        </is>
      </c>
      <c r="B30" s="66" t="inlineStr">
        <is>
          <t>Sattelbreite</t>
        </is>
      </c>
      <c r="C30" s="67" t="inlineStr"/>
      <c r="D30" s="68" t="inlineStr">
        <is>
          <t>Vorschub = Bisslänge × A_vorher/A_nachher; Bisslänge höchstens Sattelbreite</t>
        </is>
      </c>
    </row>
    <row r="31" ht="17" customHeight="1">
      <c r="A31" s="65" t="inlineStr">
        <is>
          <t>Bisslänge konstant</t>
        </is>
      </c>
      <c r="B31" s="69" t="n">
        <v>150</v>
      </c>
      <c r="C31" s="67" t="inlineStr">
        <is>
          <t>mm</t>
        </is>
      </c>
      <c r="D31" s="68" t="inlineStr">
        <is>
          <t>nur bei konstanter Bisslänge</t>
        </is>
      </c>
    </row>
    <row r="32" ht="17" customHeight="1">
      <c r="A32" s="65" t="inlineStr">
        <is>
          <t>Bisslänge s_B / Höhe h</t>
        </is>
      </c>
      <c r="B32" s="70" t="n">
        <v>0.6</v>
      </c>
      <c r="C32" s="67" t="inlineStr">
        <is>
          <t>–</t>
        </is>
      </c>
      <c r="D32" s="68" t="inlineStr">
        <is>
          <t>nur bei Bisslänge aus s_B/h</t>
        </is>
      </c>
    </row>
    <row r="33" ht="8" customHeight="1"/>
    <row r="34" ht="20" customHeight="1">
      <c r="A34" s="62" t="inlineStr">
        <is>
          <t>Wärmeübergang</t>
        </is>
      </c>
      <c r="B34" s="63" t="inlineStr">
        <is>
          <t>Wert</t>
        </is>
      </c>
      <c r="C34" s="64" t="inlineStr">
        <is>
          <t>Einheit</t>
        </is>
      </c>
      <c r="D34" s="64" t="inlineStr">
        <is>
          <t>Hinweis</t>
        </is>
      </c>
    </row>
    <row r="35" ht="17" customHeight="1">
      <c r="A35" s="65" t="inlineStr">
        <is>
          <t>Satteltemperatur</t>
        </is>
      </c>
      <c r="B35" s="69" t="n">
        <v>250</v>
      </c>
      <c r="C35" s="67" t="inlineStr">
        <is>
          <t>°C</t>
        </is>
      </c>
      <c r="D35" s="68" t="inlineStr"/>
    </row>
    <row r="36" ht="17" customHeight="1">
      <c r="A36" s="65" t="inlineStr">
        <is>
          <t>Kontaktleitwert h_K unter Last</t>
        </is>
      </c>
      <c r="B36" s="22" t="n">
        <v>15000</v>
      </c>
      <c r="C36" s="67" t="inlineStr">
        <is>
          <t>W/(m² K)</t>
        </is>
      </c>
      <c r="D36" s="68" t="inlineStr"/>
    </row>
    <row r="37" ht="17" customHeight="1">
      <c r="A37" s="65" t="inlineStr">
        <is>
          <t>Kontaktleitwert beim Aufliegen</t>
        </is>
      </c>
      <c r="B37" s="22" t="n">
        <v>3000</v>
      </c>
      <c r="C37" s="67" t="inlineStr">
        <is>
          <t>W/(m² K)</t>
        </is>
      </c>
      <c r="D37" s="68" t="inlineStr">
        <is>
          <t>Nebenzeit auf dem Untersattel (QForm: CoolingInTool)</t>
        </is>
      </c>
    </row>
    <row r="38" ht="17" customHeight="1">
      <c r="A38" s="65" t="inlineStr">
        <is>
          <t>Wärmeleitfähigkeit Sattel λ</t>
        </is>
      </c>
      <c r="B38" s="21" t="n">
        <v>30</v>
      </c>
      <c r="C38" s="67" t="inlineStr">
        <is>
          <t>W/(m K)</t>
        </is>
      </c>
      <c r="D38" s="68" t="inlineStr"/>
    </row>
    <row r="39" ht="17" customHeight="1">
      <c r="A39" s="65" t="inlineStr">
        <is>
          <t>ρ·c Sattel</t>
        </is>
      </c>
      <c r="B39" s="31" t="n">
        <v>3.6</v>
      </c>
      <c r="C39" s="67" t="inlineStr">
        <is>
          <t>MJ/(m³ K)</t>
        </is>
      </c>
      <c r="D39" s="68" t="inlineStr">
        <is>
          <t>Konstante im Modell (Warmarbeitsstahl)</t>
        </is>
      </c>
    </row>
    <row r="40" ht="17" customHeight="1">
      <c r="A40" s="65" t="inlineStr">
        <is>
          <t>Wärmeübergang Luft h</t>
        </is>
      </c>
      <c r="B40" s="21" t="n">
        <v>10</v>
      </c>
      <c r="C40" s="67" t="inlineStr">
        <is>
          <t>W/(m² K)</t>
        </is>
      </c>
      <c r="D40" s="68" t="inlineStr"/>
    </row>
    <row r="41" ht="17" customHeight="1">
      <c r="A41" s="65" t="inlineStr">
        <is>
          <t>Emissionsgrad ε</t>
        </is>
      </c>
      <c r="B41" s="70" t="n">
        <v>0.1</v>
      </c>
      <c r="C41" s="67" t="inlineStr">
        <is>
          <t>–</t>
        </is>
      </c>
      <c r="D41" s="68" t="inlineStr"/>
    </row>
    <row r="42" ht="17" customHeight="1">
      <c r="A42" s="65" t="inlineStr">
        <is>
          <t>Umgebungstemperatur</t>
        </is>
      </c>
      <c r="B42" s="30" t="n">
        <v>20</v>
      </c>
      <c r="C42" s="67" t="inlineStr">
        <is>
          <t>°C</t>
        </is>
      </c>
      <c r="D42" s="68" t="inlineStr">
        <is>
          <t>Konstante im Modell</t>
        </is>
      </c>
    </row>
    <row r="43" ht="8" customHeight="1"/>
    <row r="44" ht="20" customHeight="1">
      <c r="A44" s="62" t="inlineStr">
        <is>
          <t>Umformung und Fließspannung</t>
        </is>
      </c>
      <c r="B44" s="63" t="inlineStr">
        <is>
          <t>Wert</t>
        </is>
      </c>
      <c r="C44" s="64" t="inlineStr">
        <is>
          <t>Einheit</t>
        </is>
      </c>
      <c r="D44" s="64" t="inlineStr">
        <is>
          <t>Hinweis</t>
        </is>
      </c>
    </row>
    <row r="45" ht="17" customHeight="1">
      <c r="A45" s="65" t="inlineStr">
        <is>
          <t>Fließspannungsmodell</t>
        </is>
      </c>
      <c r="B45" s="66" t="inlineStr">
        <is>
          <t>Sellars-Tegart</t>
        </is>
      </c>
      <c r="C45" s="67" t="inlineStr"/>
      <c r="D45" s="68" t="inlineStr">
        <is>
          <t>σ = 1/α · arsinh[(Z/A)^(1/n)], Z = φ̇ · exp(Q/RT)</t>
        </is>
      </c>
    </row>
    <row r="46" ht="17" customHeight="1">
      <c r="A46" s="65" t="inlineStr">
        <is>
          <t>α</t>
        </is>
      </c>
      <c r="B46" s="71" t="n">
        <v>0.045</v>
      </c>
      <c r="C46" s="67" t="inlineStr">
        <is>
          <t>1/MPa</t>
        </is>
      </c>
      <c r="D46" s="68" t="inlineStr"/>
    </row>
    <row r="47" ht="17" customHeight="1">
      <c r="A47" s="65" t="inlineStr">
        <is>
          <t>n</t>
        </is>
      </c>
      <c r="B47" s="70" t="n">
        <v>3.6</v>
      </c>
      <c r="C47" s="67" t="inlineStr">
        <is>
          <t>–</t>
        </is>
      </c>
      <c r="D47" s="68" t="inlineStr"/>
    </row>
    <row r="48" ht="17" customHeight="1">
      <c r="A48" s="65" t="inlineStr">
        <is>
          <t>Q</t>
        </is>
      </c>
      <c r="B48" s="21" t="n">
        <v>160</v>
      </c>
      <c r="C48" s="67" t="inlineStr">
        <is>
          <t>kJ/mol</t>
        </is>
      </c>
      <c r="D48" s="68" t="inlineStr"/>
    </row>
    <row r="49" ht="17" customHeight="1">
      <c r="A49" s="65" t="inlineStr">
        <is>
          <t>ln A</t>
        </is>
      </c>
      <c r="B49" s="72" t="n">
        <v>19.73</v>
      </c>
      <c r="C49" s="67" t="inlineStr">
        <is>
          <t>ln(1/s)</t>
        </is>
      </c>
      <c r="D49" s="68" t="inlineStr"/>
    </row>
    <row r="50" ht="17" customHeight="1">
      <c r="A50" s="65" t="inlineStr">
        <is>
          <t>Formänderungswirkungsgrad η_F</t>
        </is>
      </c>
      <c r="B50" s="70" t="n">
        <v>0.75</v>
      </c>
      <c r="C50" s="67" t="inlineStr">
        <is>
          <t>–</t>
        </is>
      </c>
      <c r="D50" s="68" t="inlineStr"/>
    </row>
    <row r="51" ht="17" customHeight="1">
      <c r="A51" s="65" t="inlineStr">
        <is>
          <t>Reibungszahl μ</t>
        </is>
      </c>
      <c r="B51" s="70" t="n">
        <v>0.3</v>
      </c>
      <c r="C51" s="67" t="inlineStr">
        <is>
          <t>–</t>
        </is>
      </c>
      <c r="D51" s="68" t="inlineStr"/>
    </row>
    <row r="52" ht="17" customHeight="1">
      <c r="A52" s="65" t="inlineStr">
        <is>
          <t>Taylor-Quinney-Koeffizient β</t>
        </is>
      </c>
      <c r="B52" s="28" t="n">
        <v>0.9</v>
      </c>
      <c r="C52" s="67" t="inlineStr">
        <is>
          <t>–</t>
        </is>
      </c>
      <c r="D52" s="68" t="inlineStr">
        <is>
          <t>Konstante im Modell</t>
        </is>
      </c>
    </row>
    <row r="53" ht="8" customHeight="1"/>
    <row r="54" ht="20" customHeight="1">
      <c r="A54" s="62" t="inlineStr">
        <is>
          <t>Grenzen</t>
        </is>
      </c>
      <c r="B54" s="63" t="inlineStr">
        <is>
          <t>Wert</t>
        </is>
      </c>
      <c r="C54" s="64" t="inlineStr">
        <is>
          <t>Einheit</t>
        </is>
      </c>
      <c r="D54" s="64" t="inlineStr">
        <is>
          <t>Hinweis</t>
        </is>
      </c>
    </row>
    <row r="55" ht="17" customHeight="1">
      <c r="A55" s="65" t="inlineStr">
        <is>
          <t>Presskraft max.</t>
        </is>
      </c>
      <c r="B55" s="21" t="n">
        <v>10</v>
      </c>
      <c r="C55" s="67" t="inlineStr">
        <is>
          <t>MN</t>
        </is>
      </c>
      <c r="D55" s="68" t="inlineStr"/>
    </row>
    <row r="56" ht="17" customHeight="1">
      <c r="A56" s="65" t="inlineStr">
        <is>
          <t>Mindesttemperatur Oberfläche</t>
        </is>
      </c>
      <c r="B56" s="69" t="n">
        <v>400</v>
      </c>
      <c r="C56" s="67" t="inlineStr">
        <is>
          <t>°C</t>
        </is>
      </c>
      <c r="D56" s="68" t="inlineStr"/>
    </row>
    <row r="57" ht="17" customHeight="1">
      <c r="A57" s="65" t="inlineStr">
        <is>
          <t>Höchsttemperatur Kern</t>
        </is>
      </c>
      <c r="B57" s="69" t="n">
        <v>520</v>
      </c>
      <c r="C57" s="67" t="inlineStr">
        <is>
          <t>°C</t>
        </is>
      </c>
      <c r="D57" s="68" t="inlineStr"/>
    </row>
    <row r="59" ht="20" customHeight="1">
      <c r="A59" s="73" t="inlineStr">
        <is>
          <t>Rechenmodell</t>
        </is>
      </c>
      <c r="B59" s="3" t="n"/>
      <c r="C59" s="3" t="n"/>
      <c r="D59" s="3" t="n"/>
    </row>
    <row r="60" ht="8" customHeight="1"/>
    <row r="61">
      <c r="A61" s="74" t="inlineStr">
        <is>
          <t>Stichplan: Geometrie</t>
        </is>
      </c>
    </row>
    <row r="62" ht="179.5" customHeight="1">
      <c r="A62" s="75" t="inlineStr">
        <is>
          <t>Stich 0 ist der Rohblock. Je Stich wird entweder das Maß (D, a oder SW) oder die Länge vorgegeben, das andere folgt aus der Volumenkonstanz. Die Stiche sind scharfkantig gerechnet. Umformgrad je Stich φ = ln(A_vorher/A_nachher). Gerechnet wird Recken mit Flachsätteln in der Hubfolge von QForm: Je Biss werden alle Drehlagen geschmiedet (Drehschritt 180°/Drehlagen), dann folgt der Vorschub zum nächsten Biss. Die größte Bisslänge ist wahlweise die Sattelbreite (minimale Bisszahl), ein konstanter Wert für alle Stiche oder (s_B/h) · h_vorher, jeweils höchstens die Sattelbreite. Die Zahl der Bisse ist L_vorher / größte Bisslänge (aufgerundet); alle Bisse haben die größte Bisslänge, der letzte nimmt den Rest auf; ein Rest unter einem Viertel der Bisslänge wird dem letzten vollen Biss zugeschlagen, sofern dieser dann noch unter den Sattel passt. Der Vorschub zwischen den Bissen ist Bisslänge × A_vorher/A_nachher: Der geschmiedete Abschnitt ist um diesen Faktor länger geworden, damit trifft der Sattel beim nächsten Biss genau auf ungeschmiedeten Werkstoff. Der Hubweg je Hub ist die Ausdehnung des vorherigen Querschnitts in den Druckrichtungen des neuen Stichs minus das neue Maß (beim Übergang Vierkant → Achtkant gemittelt über Flächen und Ecken, bei Rund über den mittleren Durchmesser). Die Kontaktbreite je Sattel ist beim Vierkant die Kantenlänge, beim Achtkant die Seitenlänge und beim Rund die Abplattungsbreite; sie kann je Stich überschrieben werden.</t>
        </is>
      </c>
    </row>
    <row r="63" ht="8" customHeight="1"/>
    <row r="64">
      <c r="A64" s="74" t="inlineStr">
        <is>
          <t>Stichplan: Temperatur</t>
        </is>
      </c>
    </row>
    <row r="65" ht="220" customHeight="1">
      <c r="A65" s="75" t="inlineStr">
        <is>
          <t>Betrachtet wird eine Scheibe in Stabmitte. Sie liegt im mittleren Biss und wird dort in jeder Drehlage einmal von Ober- und Untersattel gefasst; vor jedem dieser Hübe liegt sie während der Nebenzeit auf dem Untersattel (eine Sattelfläche, Kontaktleitwert h_K beim Aufliegen). Während der übrigen Bisse kühlt sie an Luft. Die Zeitachse entspricht der QForm-Hubtabelle: vor dem ersten Hub eines Stichs Transport bzw. Pause an Luft, vor jedem Hub die Nebenzeit auf dem Untersattel, je Hub die Kontaktzeit. Die Wärmeleitung im Querschnitt wird mit einem Zylinder gleichen Verhältnisses von Volumen zu Oberfläche (R = 2A/U) gerechnet; Kern und Oberfläche beziehen sich auf diesen Ersatzzylinder, die Oberfläche ist der Mittelwert über den Umfang.
Kontaktzeit je Hub = Hubweg / Hubgeschwindigkeit + Verweilzeit. Der Wärmeübergang in den Sattel folgt der geschlossenen Lösung für zwei halbunendliche Körper mit Kontaktleitwert h_K (Wärmeeindringkoeffizienten √(λρc) von Werkstück und Sattel, ρc des Sattels 3,6 MJ/(m³K)). Daraus ergeben sich die Temperatur der Kontaktfläche am Hubende und die je Fläche entzogene Wärme; diese wird mit dem Flächenanteil der beiden Sättel am Umfang auf den Querschnitt verteilt. Gegenüber einer Finite-Differenzen-Rechnung zweier Körper stimmt die Lösung auf 0,01 K überein.
Umformwärme je Drehlage: ΔT = β · k_f · Δφ / (η_F · ρ · c) mit β = 0,9 (Taylor-Quinney) und dem Formänderungswirkungsgrad η_F, gleichmäßig im Querschnitt verteilt. In Wirklichkeit ist die Umformung im Kern größer (Schmiedekreuz), die Kernerwärmung also eher höher.
Luft: Konvektion h und Strahlung ε gegen 20 °C.</t>
        </is>
      </c>
    </row>
    <row r="66" ht="8" customHeight="1"/>
    <row r="67">
      <c r="A67" s="74" t="inlineStr">
        <is>
          <t>Stichplan: QForm-Export</t>
        </is>
      </c>
    </row>
    <row r="68" ht="112" customHeight="1">
      <c r="A68" s="75" t="inlineStr">
        <is>
          <t>Hubtabelle für die Registerkarte „Blows“ im Format der QForm-Importvorlage (Blatt „Table“; Spalten Blow, CoolingInAir, CoolingInTool, Displacement, RotationAngle; zweite Zeile Einheiten #, s, s, mm, degree). QForm führt alle Werte vor dem jeweiligen Hub aus. CoolingInAir: Transport vor dem ersten Hub, Pause zwischen den Stichen vor dem ersten Hub jedes weiteren Stichs, sonst 0. CoolingInTool: Nebenzeit je Hub vor jedem Hub. Die Verweilzeit unter Last ist nicht Teil der Tabelle; QForm rechnet den Hub selbst. Displacement: Vorschub vor dem ersten Hub jedes neuen Bisses (negativ wie in der Vorlage, d. h. zum Ursprung), optional Rückfahrt an den Stichanfang im ersten Hub des Folgestichs. RotationAngle: Drehschritt vor jedem Hub außer dem ersten Hub eines Stichs. Endabstand der Sättel (= Maß des Stichs) und Hubgeschwindigkeit werden in QForm eingestellt; die Werte stehen in der mitgespeicherten Textdatei.</t>
        </is>
      </c>
    </row>
    <row r="69" ht="8" customHeight="1"/>
    <row r="70">
      <c r="A70" s="74" t="inlineStr">
        <is>
          <t>Stichplan: Fließspannung und Kraft</t>
        </is>
      </c>
    </row>
    <row r="71" ht="85" customHeight="1">
      <c r="A71" s="75" t="inlineStr">
        <is>
          <t>Sellars-Tegart: σ = 1/α · arsinh[(Z/A)^(1/n)], Z = φ̇ · exp(Q/RT). Hensel-Spittel: σ = A · e^(m1·T) · T^m9 · φ^m2 · e^(m4/φ) · (1+φ)^(m5·T) · e^(m7·φ) · φ̇^m3 · φ̇^(m8·T) mit T in °C, gemittelt über den Umformgrad des Stichs (kumuliert, ohne Entfestigung zwischen den Stichen). Die Vorlagen sind grobe stationäre Richtwerte; die Hensel-Spittel-Startwerte sind eine Anpassung an das Sellars-Tegart-Modell. Umformgeschwindigkeit φ̇ = v / h_mittel.
Presskraft am Hubende: F = k_f · s_B · b_K · Q mit Q = 1,155 · max(0,75 + 0,25 · h/s_B ; 1 + μ · s_B/(4h)), also Hill für schlanke und Siebel für flache Umformzonen.</t>
        </is>
      </c>
    </row>
    <row r="72" ht="8" customHeight="1"/>
    <row r="73">
      <c r="A73" s="74" t="inlineStr">
        <is>
          <t>Stichplan: Nicht enthalten</t>
        </is>
      </c>
    </row>
    <row r="74" ht="44.5" customHeight="1">
      <c r="A74" s="75" t="inlineStr">
        <is>
          <t>Erwärmung der Sättel über viele Hübe, Stirnflächen, Breitung beim Vierkant, Abkühlung an der Auflage, Gefügeentwicklung. Die Werte sind Abschätzungen für die Planung; die Parameter h_K und η_F lassen sich mit einer Messung (Thermoelement oder Pyrometer) an der eigenen Presse kalibrieren.</t>
        </is>
      </c>
    </row>
  </sheetData>
  <mergeCells count="5">
    <mergeCell ref="A74:D74"/>
    <mergeCell ref="A62:D62"/>
    <mergeCell ref="A65:D65"/>
    <mergeCell ref="A71:D71"/>
    <mergeCell ref="A68:D68"/>
  </mergeCells>
  <printOptions horizontalCentered="1"/>
  <pageMargins left="0.5" right="0.5" top="0.6" bottom="0.7" header="0.3" footer="0.3"/>
  <pageSetup orientation="portrait" paperSize="9" fitToHeight="0" fitToWidth="1"/>
  <headerFooter>
    <oddHeader/>
    <oddFooter>&amp;L&amp;"Arial,Regular"&amp;8 Stichplan EN AW-6082&amp;R&amp;"Arial,Regular"&amp;8 Seite &amp;P von &amp;N</oddFooter>
    <evenHeader/>
    <evenFooter/>
    <firstHeader/>
    <firstFooter/>
  </headerFooter>
  <rowBreaks count="1" manualBreakCount="1">
    <brk id="58" min="0" max="16383" man="1"/>
  </rowBreaks>
</worksheet>
</file>

<file path=xl/worksheets/sheet4.xml><?xml version="1.0" encoding="utf-8"?>
<worksheet xmlns="http://schemas.openxmlformats.org/spreadsheetml/2006/main">
  <sheetPr>
    <tabColor rgb="00E1E6EA"/>
    <outlinePr summaryBelow="1" summaryRight="1"/>
    <pageSetUpPr fitToPage="1"/>
  </sheetPr>
  <dimension ref="A1:O703"/>
  <sheetViews>
    <sheetView workbookViewId="0">
      <pane ySplit="3" topLeftCell="A4" activePane="bottomLeft" state="frozen"/>
      <selection pane="bottomLeft" activeCell="A1" sqref="A1"/>
    </sheetView>
  </sheetViews>
  <sheetFormatPr baseColWidth="8" defaultRowHeight="15"/>
  <cols>
    <col width="10" customWidth="1" min="1" max="1"/>
    <col width="10" customWidth="1" min="2" max="2"/>
    <col width="11" customWidth="1" min="3" max="3"/>
    <col width="13" customWidth="1" min="4" max="4"/>
    <col width="3" customWidth="1" min="5" max="5"/>
    <col width="12" customWidth="1" min="6" max="6"/>
    <col width="14" customWidth="1" min="7" max="7"/>
    <col width="3" customWidth="1" min="8" max="8"/>
    <col width="11" customWidth="1" min="9" max="9"/>
    <col width="11" customWidth="1" min="10" max="10"/>
    <col width="11" customWidth="1" min="11" max="11"/>
    <col width="3" customWidth="1" min="12" max="12"/>
    <col width="8" customWidth="1" min="13" max="13"/>
    <col width="12" customWidth="1" min="14" max="14"/>
    <col width="12" customWidth="1" min="15" max="15"/>
  </cols>
  <sheetData>
    <row r="1">
      <c r="A1" s="53" t="inlineStr">
        <is>
          <t>Diagrammdaten</t>
        </is>
      </c>
    </row>
    <row r="2">
      <c r="A2" s="54" t="inlineStr">
        <is>
          <t>Temperaturverlauf auf 700 Punkte ausgedünnt (Extremwerte bleiben erhalten); die vollständige Zeitreihe enthält der CSV-Export.</t>
        </is>
      </c>
    </row>
    <row r="3" ht="30" customHeight="1">
      <c r="A3" s="18" t="inlineStr">
        <is>
          <t>Zeit
[s]</t>
        </is>
      </c>
      <c r="B3" s="18" t="inlineStr">
        <is>
          <t>Zeit
[min]</t>
        </is>
      </c>
      <c r="C3" s="18" t="inlineStr">
        <is>
          <t>Kern</t>
        </is>
      </c>
      <c r="D3" s="18" t="inlineStr">
        <is>
          <t>Oberfläche (Mittel)</t>
        </is>
      </c>
      <c r="F3" s="18" t="inlineStr">
        <is>
          <t>Zeit
[min]</t>
        </is>
      </c>
      <c r="G3" s="18" t="inlineStr">
        <is>
          <t>Kontaktzone am Hubende</t>
        </is>
      </c>
      <c r="I3" s="18" t="inlineStr">
        <is>
          <t>Zeit
[min]</t>
        </is>
      </c>
      <c r="J3" s="18" t="inlineStr">
        <is>
          <t>Mindesttemperatur</t>
        </is>
      </c>
      <c r="K3" s="18" t="inlineStr">
        <is>
          <t>Höchsttemperatur Kern</t>
        </is>
      </c>
      <c r="M3" s="18" t="inlineStr">
        <is>
          <t>Stich</t>
        </is>
      </c>
      <c r="N3" s="18" t="inlineStr">
        <is>
          <t>Presskraft
[MN]</t>
        </is>
      </c>
      <c r="O3" s="18" t="inlineStr">
        <is>
          <t>Grenze Presskraft</t>
        </is>
      </c>
    </row>
    <row r="4">
      <c r="A4" s="76" t="n">
        <v>0</v>
      </c>
      <c r="B4" s="77" t="n">
        <v>0</v>
      </c>
      <c r="C4" s="76" t="n">
        <v>480</v>
      </c>
      <c r="D4" s="76" t="n">
        <v>480</v>
      </c>
      <c r="F4" s="77" t="n">
        <v>0.6433</v>
      </c>
      <c r="G4" s="76" t="n">
        <v>409.06</v>
      </c>
      <c r="I4" s="77" t="n">
        <v>0</v>
      </c>
      <c r="J4" s="78" t="n">
        <v>400</v>
      </c>
      <c r="K4" s="78" t="n">
        <v>520</v>
      </c>
      <c r="M4" s="79" t="n">
        <v>1</v>
      </c>
      <c r="N4" s="77" t="n">
        <v>1.8232</v>
      </c>
      <c r="O4" s="76" t="n">
        <v>10</v>
      </c>
    </row>
    <row r="5">
      <c r="A5" s="76" t="n">
        <v>0.5</v>
      </c>
      <c r="B5" s="77" t="n">
        <v>0.0083</v>
      </c>
      <c r="C5" s="76" t="n">
        <v>480</v>
      </c>
      <c r="D5" s="76" t="n">
        <v>479.79</v>
      </c>
      <c r="F5" s="77" t="n">
        <v>0.7467</v>
      </c>
      <c r="G5" s="76" t="n">
        <v>401.12</v>
      </c>
      <c r="I5" s="77" t="n">
        <v>5.7202</v>
      </c>
      <c r="J5" s="78" t="n">
        <v>400</v>
      </c>
      <c r="K5" s="78" t="n">
        <v>520</v>
      </c>
      <c r="M5" s="79" t="n">
        <v>2</v>
      </c>
      <c r="N5" s="77" t="n">
        <v>1.6436</v>
      </c>
      <c r="O5" s="76" t="n">
        <v>10</v>
      </c>
    </row>
    <row r="6">
      <c r="A6" s="76" t="n">
        <v>1</v>
      </c>
      <c r="B6" s="77" t="n">
        <v>0.0167</v>
      </c>
      <c r="C6" s="76" t="n">
        <v>480</v>
      </c>
      <c r="D6" s="76" t="n">
        <v>479.67</v>
      </c>
      <c r="F6" s="77" t="n">
        <v>1.2108</v>
      </c>
      <c r="G6" s="76" t="n">
        <v>400</v>
      </c>
      <c r="M6" s="79" t="n">
        <v>3</v>
      </c>
      <c r="N6" s="77" t="n">
        <v>0.6923</v>
      </c>
      <c r="O6" s="76" t="n">
        <v>10</v>
      </c>
    </row>
    <row r="7">
      <c r="A7" s="76" t="n">
        <v>2</v>
      </c>
      <c r="B7" s="77" t="n">
        <v>0.0333</v>
      </c>
      <c r="C7" s="76" t="n">
        <v>480</v>
      </c>
      <c r="D7" s="76" t="n">
        <v>479.5</v>
      </c>
      <c r="F7" s="77" t="n">
        <v>1.31</v>
      </c>
      <c r="G7" s="76" t="n">
        <v>395.11</v>
      </c>
      <c r="M7" s="79" t="n">
        <v>4</v>
      </c>
      <c r="N7" s="77" t="n">
        <v>1.0059</v>
      </c>
      <c r="O7" s="76" t="n">
        <v>10</v>
      </c>
    </row>
    <row r="8">
      <c r="A8" s="76" t="n">
        <v>2.5</v>
      </c>
      <c r="B8" s="77" t="n">
        <v>0.0417</v>
      </c>
      <c r="C8" s="76" t="n">
        <v>480</v>
      </c>
      <c r="D8" s="76" t="n">
        <v>479.44</v>
      </c>
      <c r="F8" s="77" t="n">
        <v>2.1853</v>
      </c>
      <c r="G8" s="76" t="n">
        <v>393.1</v>
      </c>
    </row>
    <row r="9">
      <c r="A9" s="76" t="n">
        <v>3.5</v>
      </c>
      <c r="B9" s="77" t="n">
        <v>0.0583</v>
      </c>
      <c r="C9" s="76" t="n">
        <v>480</v>
      </c>
      <c r="D9" s="76" t="n">
        <v>479.32</v>
      </c>
      <c r="F9" s="77" t="n">
        <v>2.2873</v>
      </c>
      <c r="G9" s="76" t="n">
        <v>390.1</v>
      </c>
    </row>
    <row r="10">
      <c r="A10" s="76" t="n">
        <v>4</v>
      </c>
      <c r="B10" s="77" t="n">
        <v>0.0667</v>
      </c>
      <c r="C10" s="76" t="n">
        <v>480</v>
      </c>
      <c r="D10" s="76" t="n">
        <v>479.27</v>
      </c>
      <c r="F10" s="77" t="n">
        <v>2.3894</v>
      </c>
      <c r="G10" s="76" t="n">
        <v>387.39</v>
      </c>
    </row>
    <row r="11">
      <c r="A11" s="76" t="n">
        <v>5</v>
      </c>
      <c r="B11" s="77" t="n">
        <v>0.0833</v>
      </c>
      <c r="C11" s="76" t="n">
        <v>480</v>
      </c>
      <c r="D11" s="76" t="n">
        <v>479.17</v>
      </c>
      <c r="F11" s="77" t="n">
        <v>2.4914</v>
      </c>
      <c r="G11" s="76" t="n">
        <v>384.53</v>
      </c>
    </row>
    <row r="12">
      <c r="A12" s="76" t="n">
        <v>5.5</v>
      </c>
      <c r="B12" s="77" t="n">
        <v>0.0917</v>
      </c>
      <c r="C12" s="76" t="n">
        <v>480</v>
      </c>
      <c r="D12" s="76" t="n">
        <v>479.12</v>
      </c>
      <c r="F12" s="77" t="n">
        <v>4.3166</v>
      </c>
      <c r="G12" s="76" t="n">
        <v>379.02</v>
      </c>
    </row>
    <row r="13">
      <c r="A13" s="76" t="n">
        <v>6.5</v>
      </c>
      <c r="B13" s="77" t="n">
        <v>0.1083</v>
      </c>
      <c r="C13" s="76" t="n">
        <v>479.99</v>
      </c>
      <c r="D13" s="76" t="n">
        <v>479.04</v>
      </c>
      <c r="F13" s="77" t="n">
        <v>4.4102</v>
      </c>
      <c r="G13" s="76" t="n">
        <v>374.96</v>
      </c>
    </row>
    <row r="14">
      <c r="A14" s="76" t="n">
        <v>7</v>
      </c>
      <c r="B14" s="77" t="n">
        <v>0.1167</v>
      </c>
      <c r="C14" s="76" t="n">
        <v>479.99</v>
      </c>
      <c r="D14" s="76" t="n">
        <v>478.99</v>
      </c>
      <c r="F14" s="77" t="n">
        <v>4.5038</v>
      </c>
      <c r="G14" s="76" t="n">
        <v>371.27</v>
      </c>
    </row>
    <row r="15">
      <c r="A15" s="76" t="n">
        <v>8</v>
      </c>
      <c r="B15" s="77" t="n">
        <v>0.1333</v>
      </c>
      <c r="C15" s="76" t="n">
        <v>479.98</v>
      </c>
      <c r="D15" s="76" t="n">
        <v>478.91</v>
      </c>
      <c r="F15" s="77" t="n">
        <v>4.5974</v>
      </c>
      <c r="G15" s="76" t="n">
        <v>367.57</v>
      </c>
    </row>
    <row r="16">
      <c r="A16" s="76" t="n">
        <v>8.5</v>
      </c>
      <c r="B16" s="77" t="n">
        <v>0.1417</v>
      </c>
      <c r="C16" s="76" t="n">
        <v>479.98</v>
      </c>
      <c r="D16" s="76" t="n">
        <v>478.88</v>
      </c>
    </row>
    <row r="17">
      <c r="A17" s="76" t="n">
        <v>9.5</v>
      </c>
      <c r="B17" s="77" t="n">
        <v>0.1583</v>
      </c>
      <c r="C17" s="76" t="n">
        <v>479.97</v>
      </c>
      <c r="D17" s="76" t="n">
        <v>478.8</v>
      </c>
    </row>
    <row r="18">
      <c r="A18" s="76" t="n">
        <v>10</v>
      </c>
      <c r="B18" s="77" t="n">
        <v>0.1667</v>
      </c>
      <c r="C18" s="76" t="n">
        <v>479.96</v>
      </c>
      <c r="D18" s="76" t="n">
        <v>478.77</v>
      </c>
    </row>
    <row r="19">
      <c r="A19" s="76" t="n">
        <v>11</v>
      </c>
      <c r="B19" s="77" t="n">
        <v>0.1833</v>
      </c>
      <c r="C19" s="76" t="n">
        <v>479.95</v>
      </c>
      <c r="D19" s="76" t="n">
        <v>478.69</v>
      </c>
    </row>
    <row r="20">
      <c r="A20" s="76" t="n">
        <v>11.5</v>
      </c>
      <c r="B20" s="77" t="n">
        <v>0.1917</v>
      </c>
      <c r="C20" s="76" t="n">
        <v>479.94</v>
      </c>
      <c r="D20" s="76" t="n">
        <v>478.66</v>
      </c>
    </row>
    <row r="21">
      <c r="A21" s="76" t="n">
        <v>12.5</v>
      </c>
      <c r="B21" s="77" t="n">
        <v>0.2083</v>
      </c>
      <c r="C21" s="76" t="n">
        <v>479.92</v>
      </c>
      <c r="D21" s="76" t="n">
        <v>478.59</v>
      </c>
    </row>
    <row r="22">
      <c r="A22" s="76" t="n">
        <v>13</v>
      </c>
      <c r="B22" s="77" t="n">
        <v>0.2167</v>
      </c>
      <c r="C22" s="76" t="n">
        <v>479.91</v>
      </c>
      <c r="D22" s="76" t="n">
        <v>478.56</v>
      </c>
    </row>
    <row r="23">
      <c r="A23" s="76" t="n">
        <v>14</v>
      </c>
      <c r="B23" s="77" t="n">
        <v>0.2333</v>
      </c>
      <c r="C23" s="76" t="n">
        <v>479.88</v>
      </c>
      <c r="D23" s="76" t="n">
        <v>478.5</v>
      </c>
    </row>
    <row r="24">
      <c r="A24" s="76" t="n">
        <v>14.5</v>
      </c>
      <c r="B24" s="77" t="n">
        <v>0.2417</v>
      </c>
      <c r="C24" s="76" t="n">
        <v>479.87</v>
      </c>
      <c r="D24" s="76" t="n">
        <v>478.46</v>
      </c>
    </row>
    <row r="25">
      <c r="A25" s="76" t="n">
        <v>15.5</v>
      </c>
      <c r="B25" s="77" t="n">
        <v>0.2583</v>
      </c>
      <c r="C25" s="76" t="n">
        <v>479.84</v>
      </c>
      <c r="D25" s="76" t="n">
        <v>478.4</v>
      </c>
    </row>
    <row r="26">
      <c r="A26" s="76" t="n">
        <v>16</v>
      </c>
      <c r="B26" s="77" t="n">
        <v>0.2667</v>
      </c>
      <c r="C26" s="76" t="n">
        <v>479.83</v>
      </c>
      <c r="D26" s="76" t="n">
        <v>478.37</v>
      </c>
    </row>
    <row r="27">
      <c r="A27" s="76" t="n">
        <v>17</v>
      </c>
      <c r="B27" s="77" t="n">
        <v>0.2833</v>
      </c>
      <c r="C27" s="76" t="n">
        <v>479.8</v>
      </c>
      <c r="D27" s="76" t="n">
        <v>478.31</v>
      </c>
    </row>
    <row r="28">
      <c r="A28" s="76" t="n">
        <v>17.5</v>
      </c>
      <c r="B28" s="77" t="n">
        <v>0.2917</v>
      </c>
      <c r="C28" s="76" t="n">
        <v>479.78</v>
      </c>
      <c r="D28" s="76" t="n">
        <v>478.28</v>
      </c>
    </row>
    <row r="29">
      <c r="A29" s="76" t="n">
        <v>18.5</v>
      </c>
      <c r="B29" s="77" t="n">
        <v>0.3083</v>
      </c>
      <c r="C29" s="76" t="n">
        <v>479.75</v>
      </c>
      <c r="D29" s="76" t="n">
        <v>478.22</v>
      </c>
    </row>
    <row r="30">
      <c r="A30" s="76" t="n">
        <v>19</v>
      </c>
      <c r="B30" s="77" t="n">
        <v>0.3167</v>
      </c>
      <c r="C30" s="76" t="n">
        <v>479.73</v>
      </c>
      <c r="D30" s="76" t="n">
        <v>478.19</v>
      </c>
    </row>
    <row r="31">
      <c r="A31" s="76" t="n">
        <v>20</v>
      </c>
      <c r="B31" s="77" t="n">
        <v>0.3333</v>
      </c>
      <c r="C31" s="76" t="n">
        <v>479.69</v>
      </c>
      <c r="D31" s="76" t="n">
        <v>478.13</v>
      </c>
    </row>
    <row r="32">
      <c r="A32" s="76" t="n">
        <v>20.5</v>
      </c>
      <c r="B32" s="77" t="n">
        <v>0.3416</v>
      </c>
      <c r="C32" s="76" t="n">
        <v>479.67</v>
      </c>
      <c r="D32" s="76" t="n">
        <v>478.1</v>
      </c>
    </row>
    <row r="33">
      <c r="A33" s="76" t="n">
        <v>20.99</v>
      </c>
      <c r="B33" s="77" t="n">
        <v>0.3499</v>
      </c>
      <c r="C33" s="76" t="n">
        <v>479.66</v>
      </c>
      <c r="D33" s="76" t="n">
        <v>478.07</v>
      </c>
    </row>
    <row r="34">
      <c r="A34" s="76" t="n">
        <v>21.49</v>
      </c>
      <c r="B34" s="77" t="n">
        <v>0.3581</v>
      </c>
      <c r="C34" s="76" t="n">
        <v>479.64</v>
      </c>
      <c r="D34" s="76" t="n">
        <v>478.04</v>
      </c>
    </row>
    <row r="35">
      <c r="A35" s="76" t="n">
        <v>22.48</v>
      </c>
      <c r="B35" s="77" t="n">
        <v>0.3747</v>
      </c>
      <c r="C35" s="76" t="n">
        <v>479.6</v>
      </c>
      <c r="D35" s="76" t="n">
        <v>477.99</v>
      </c>
    </row>
    <row r="36">
      <c r="A36" s="76" t="n">
        <v>22.98</v>
      </c>
      <c r="B36" s="77" t="n">
        <v>0.3829</v>
      </c>
      <c r="C36" s="76" t="n">
        <v>479.58</v>
      </c>
      <c r="D36" s="76" t="n">
        <v>477.96</v>
      </c>
    </row>
    <row r="37">
      <c r="A37" s="76" t="n">
        <v>23.97</v>
      </c>
      <c r="B37" s="77" t="n">
        <v>0.3995</v>
      </c>
      <c r="C37" s="76" t="n">
        <v>479.53</v>
      </c>
      <c r="D37" s="76" t="n">
        <v>477.9</v>
      </c>
    </row>
    <row r="38">
      <c r="A38" s="76" t="n">
        <v>24.46</v>
      </c>
      <c r="B38" s="77" t="n">
        <v>0.4077</v>
      </c>
      <c r="C38" s="76" t="n">
        <v>479.51</v>
      </c>
      <c r="D38" s="76" t="n">
        <v>477.88</v>
      </c>
    </row>
    <row r="39">
      <c r="A39" s="76" t="n">
        <v>25.46</v>
      </c>
      <c r="B39" s="77" t="n">
        <v>0.4243</v>
      </c>
      <c r="C39" s="76" t="n">
        <v>479.47</v>
      </c>
      <c r="D39" s="76" t="n">
        <v>477.82</v>
      </c>
    </row>
    <row r="40">
      <c r="A40" s="76" t="n">
        <v>25.95</v>
      </c>
      <c r="B40" s="77" t="n">
        <v>0.4325</v>
      </c>
      <c r="C40" s="76" t="n">
        <v>479.45</v>
      </c>
      <c r="D40" s="76" t="n">
        <v>477.79</v>
      </c>
    </row>
    <row r="41">
      <c r="A41" s="76" t="n">
        <v>26.94</v>
      </c>
      <c r="B41" s="77" t="n">
        <v>0.4491</v>
      </c>
      <c r="C41" s="76" t="n">
        <v>479.4</v>
      </c>
      <c r="D41" s="76" t="n">
        <v>477.74</v>
      </c>
    </row>
    <row r="42">
      <c r="A42" s="76" t="n">
        <v>27.44</v>
      </c>
      <c r="B42" s="77" t="n">
        <v>0.4573</v>
      </c>
      <c r="C42" s="76" t="n">
        <v>479.38</v>
      </c>
      <c r="D42" s="76" t="n">
        <v>477.71</v>
      </c>
    </row>
    <row r="43">
      <c r="A43" s="76" t="n">
        <v>28.43</v>
      </c>
      <c r="B43" s="77" t="n">
        <v>0.4739</v>
      </c>
      <c r="C43" s="76" t="n">
        <v>479.34</v>
      </c>
      <c r="D43" s="76" t="n">
        <v>477.66</v>
      </c>
    </row>
    <row r="44">
      <c r="A44" s="76" t="n">
        <v>28.93</v>
      </c>
      <c r="B44" s="77" t="n">
        <v>0.4821</v>
      </c>
      <c r="C44" s="76" t="n">
        <v>479.31</v>
      </c>
      <c r="D44" s="76" t="n">
        <v>477.63</v>
      </c>
    </row>
    <row r="45">
      <c r="A45" s="76" t="n">
        <v>29.92</v>
      </c>
      <c r="B45" s="77" t="n">
        <v>0.4987</v>
      </c>
      <c r="C45" s="76" t="n">
        <v>479.27</v>
      </c>
      <c r="D45" s="76" t="n">
        <v>477.58</v>
      </c>
    </row>
    <row r="46">
      <c r="A46" s="76" t="n">
        <v>30.42</v>
      </c>
      <c r="B46" s="77" t="n">
        <v>0.5069</v>
      </c>
      <c r="C46" s="76" t="n">
        <v>479.24</v>
      </c>
      <c r="D46" s="76" t="n">
        <v>477.55</v>
      </c>
    </row>
    <row r="47">
      <c r="A47" s="76" t="n">
        <v>31.41</v>
      </c>
      <c r="B47" s="77" t="n">
        <v>0.5235</v>
      </c>
      <c r="C47" s="76" t="n">
        <v>479.2</v>
      </c>
      <c r="D47" s="76" t="n">
        <v>477.5</v>
      </c>
    </row>
    <row r="48">
      <c r="A48" s="76" t="n">
        <v>31.9</v>
      </c>
      <c r="B48" s="77" t="n">
        <v>0.5317</v>
      </c>
      <c r="C48" s="76" t="n">
        <v>479.17</v>
      </c>
      <c r="D48" s="76" t="n">
        <v>477.47</v>
      </c>
    </row>
    <row r="49">
      <c r="A49" s="76" t="n">
        <v>32.65</v>
      </c>
      <c r="B49" s="77" t="n">
        <v>0.5442</v>
      </c>
      <c r="C49" s="76" t="n">
        <v>479.14</v>
      </c>
      <c r="D49" s="76" t="n">
        <v>475.23</v>
      </c>
    </row>
    <row r="50">
      <c r="A50" s="76" t="n">
        <v>32.9</v>
      </c>
      <c r="B50" s="77" t="n">
        <v>0.5483</v>
      </c>
      <c r="C50" s="76" t="n">
        <v>479.12</v>
      </c>
      <c r="D50" s="76" t="n">
        <v>473.95</v>
      </c>
    </row>
    <row r="51">
      <c r="A51" s="76" t="n">
        <v>33.4</v>
      </c>
      <c r="B51" s="77" t="n">
        <v>0.5567</v>
      </c>
      <c r="C51" s="76" t="n">
        <v>479.1</v>
      </c>
      <c r="D51" s="76" t="n">
        <v>472.19</v>
      </c>
    </row>
    <row r="52">
      <c r="A52" s="76" t="n">
        <v>33.65</v>
      </c>
      <c r="B52" s="77" t="n">
        <v>0.5608</v>
      </c>
      <c r="C52" s="76" t="n">
        <v>479.09</v>
      </c>
      <c r="D52" s="76" t="n">
        <v>471.49</v>
      </c>
    </row>
    <row r="53">
      <c r="A53" s="76" t="n">
        <v>34.15</v>
      </c>
      <c r="B53" s="77" t="n">
        <v>0.5692</v>
      </c>
      <c r="C53" s="76" t="n">
        <v>479.06</v>
      </c>
      <c r="D53" s="76" t="n">
        <v>470.25</v>
      </c>
    </row>
    <row r="54">
      <c r="A54" s="76" t="n">
        <v>34.4</v>
      </c>
      <c r="B54" s="77" t="n">
        <v>0.5733</v>
      </c>
      <c r="C54" s="76" t="n">
        <v>479.05</v>
      </c>
      <c r="D54" s="76" t="n">
        <v>469.7</v>
      </c>
    </row>
    <row r="55">
      <c r="A55" s="76" t="n">
        <v>34.9</v>
      </c>
      <c r="B55" s="77" t="n">
        <v>0.5817</v>
      </c>
      <c r="C55" s="76" t="n">
        <v>479.03</v>
      </c>
      <c r="D55" s="76" t="n">
        <v>468.68</v>
      </c>
    </row>
    <row r="56">
      <c r="A56" s="76" t="n">
        <v>35.15</v>
      </c>
      <c r="B56" s="77" t="n">
        <v>0.5858</v>
      </c>
      <c r="C56" s="76" t="n">
        <v>479.01</v>
      </c>
      <c r="D56" s="76" t="n">
        <v>468.2</v>
      </c>
    </row>
    <row r="57">
      <c r="A57" s="76" t="n">
        <v>35.65</v>
      </c>
      <c r="B57" s="77" t="n">
        <v>0.5942</v>
      </c>
      <c r="C57" s="76" t="n">
        <v>478.99</v>
      </c>
      <c r="D57" s="76" t="n">
        <v>467.3</v>
      </c>
    </row>
    <row r="58">
      <c r="A58" s="76" t="n">
        <v>35.9</v>
      </c>
      <c r="B58" s="77" t="n">
        <v>0.5983000000000001</v>
      </c>
      <c r="C58" s="76" t="n">
        <v>478.98</v>
      </c>
      <c r="D58" s="76" t="n">
        <v>466.87</v>
      </c>
    </row>
    <row r="59">
      <c r="A59" s="76" t="n">
        <v>36.4</v>
      </c>
      <c r="B59" s="77" t="n">
        <v>0.6067</v>
      </c>
      <c r="C59" s="76" t="n">
        <v>478.95</v>
      </c>
      <c r="D59" s="76" t="n">
        <v>466.05</v>
      </c>
    </row>
    <row r="60">
      <c r="A60" s="76" t="n">
        <v>36.65</v>
      </c>
      <c r="B60" s="77" t="n">
        <v>0.6108</v>
      </c>
      <c r="C60" s="76" t="n">
        <v>478.93</v>
      </c>
      <c r="D60" s="76" t="n">
        <v>465.66</v>
      </c>
    </row>
    <row r="61">
      <c r="A61" s="76" t="n">
        <v>37.15</v>
      </c>
      <c r="B61" s="77" t="n">
        <v>0.6192</v>
      </c>
      <c r="C61" s="76" t="n">
        <v>478.9</v>
      </c>
      <c r="D61" s="76" t="n">
        <v>464.89</v>
      </c>
    </row>
    <row r="62">
      <c r="A62" s="76" t="n">
        <v>37.4</v>
      </c>
      <c r="B62" s="77" t="n">
        <v>0.6233</v>
      </c>
      <c r="C62" s="76" t="n">
        <v>478.88</v>
      </c>
      <c r="D62" s="76" t="n">
        <v>464.52</v>
      </c>
    </row>
    <row r="63">
      <c r="A63" s="76" t="n">
        <v>37.46</v>
      </c>
      <c r="B63" s="77" t="n">
        <v>0.6243</v>
      </c>
      <c r="C63" s="76" t="n">
        <v>478.99</v>
      </c>
      <c r="D63" s="76" t="n">
        <v>460.29</v>
      </c>
    </row>
    <row r="64">
      <c r="A64" s="76" t="n">
        <v>37.52</v>
      </c>
      <c r="B64" s="77" t="n">
        <v>0.6253</v>
      </c>
      <c r="C64" s="76" t="n">
        <v>479.09</v>
      </c>
      <c r="D64" s="76" t="n">
        <v>457.44</v>
      </c>
    </row>
    <row r="65">
      <c r="A65" s="76" t="n">
        <v>37.64</v>
      </c>
      <c r="B65" s="77" t="n">
        <v>0.6273</v>
      </c>
      <c r="C65" s="76" t="n">
        <v>479.3</v>
      </c>
      <c r="D65" s="76" t="n">
        <v>453.53</v>
      </c>
    </row>
    <row r="66">
      <c r="A66" s="76" t="n">
        <v>37.7</v>
      </c>
      <c r="B66" s="77" t="n">
        <v>0.6283</v>
      </c>
      <c r="C66" s="76" t="n">
        <v>479.41</v>
      </c>
      <c r="D66" s="76" t="n">
        <v>452.01</v>
      </c>
    </row>
    <row r="67">
      <c r="A67" s="76" t="n">
        <v>37.82</v>
      </c>
      <c r="B67" s="77" t="n">
        <v>0.6303</v>
      </c>
      <c r="C67" s="76" t="n">
        <v>479.61</v>
      </c>
      <c r="D67" s="76" t="n">
        <v>449.4</v>
      </c>
    </row>
    <row r="68">
      <c r="A68" s="76" t="n">
        <v>37.88</v>
      </c>
      <c r="B68" s="77" t="n">
        <v>0.6313</v>
      </c>
      <c r="C68" s="76" t="n">
        <v>479.72</v>
      </c>
      <c r="D68" s="76" t="n">
        <v>448.25</v>
      </c>
    </row>
    <row r="69">
      <c r="A69" s="76" t="n">
        <v>38</v>
      </c>
      <c r="B69" s="77" t="n">
        <v>0.6333</v>
      </c>
      <c r="C69" s="76" t="n">
        <v>479.93</v>
      </c>
      <c r="D69" s="76" t="n">
        <v>446.14</v>
      </c>
    </row>
    <row r="70">
      <c r="A70" s="76" t="n">
        <v>38.06</v>
      </c>
      <c r="B70" s="77" t="n">
        <v>0.6343</v>
      </c>
      <c r="C70" s="76" t="n">
        <v>480.03</v>
      </c>
      <c r="D70" s="76" t="n">
        <v>445.17</v>
      </c>
    </row>
    <row r="71">
      <c r="A71" s="76" t="n">
        <v>38.18</v>
      </c>
      <c r="B71" s="77" t="n">
        <v>0.6363</v>
      </c>
      <c r="C71" s="76" t="n">
        <v>480.24</v>
      </c>
      <c r="D71" s="76" t="n">
        <v>443.35</v>
      </c>
    </row>
    <row r="72">
      <c r="A72" s="76" t="n">
        <v>38.24</v>
      </c>
      <c r="B72" s="77" t="n">
        <v>0.6373</v>
      </c>
      <c r="C72" s="76" t="n">
        <v>480.34</v>
      </c>
      <c r="D72" s="76" t="n">
        <v>442.49</v>
      </c>
    </row>
    <row r="73">
      <c r="A73" s="76" t="n">
        <v>38.36</v>
      </c>
      <c r="B73" s="77" t="n">
        <v>0.6393</v>
      </c>
      <c r="C73" s="76" t="n">
        <v>480.55</v>
      </c>
      <c r="D73" s="76" t="n">
        <v>440.86</v>
      </c>
    </row>
    <row r="74">
      <c r="A74" s="76" t="n">
        <v>38.42</v>
      </c>
      <c r="B74" s="77" t="n">
        <v>0.6403</v>
      </c>
      <c r="C74" s="76" t="n">
        <v>480.65</v>
      </c>
      <c r="D74" s="76" t="n">
        <v>440.09</v>
      </c>
    </row>
    <row r="75">
      <c r="A75" s="76" t="n">
        <v>38.54</v>
      </c>
      <c r="B75" s="77" t="n">
        <v>0.6423</v>
      </c>
      <c r="C75" s="76" t="n">
        <v>480.85</v>
      </c>
      <c r="D75" s="76" t="n">
        <v>438.59</v>
      </c>
    </row>
    <row r="76">
      <c r="A76" s="76" t="n">
        <v>38.6</v>
      </c>
      <c r="B76" s="77" t="n">
        <v>0.6433</v>
      </c>
      <c r="C76" s="76" t="n">
        <v>480.96</v>
      </c>
      <c r="D76" s="76" t="n">
        <v>437.88</v>
      </c>
    </row>
    <row r="77">
      <c r="A77" s="76" t="n">
        <v>39.1</v>
      </c>
      <c r="B77" s="77" t="n">
        <v>0.6516999999999999</v>
      </c>
      <c r="C77" s="76" t="n">
        <v>480.88</v>
      </c>
      <c r="D77" s="76" t="n">
        <v>448.6</v>
      </c>
    </row>
    <row r="78">
      <c r="A78" s="76" t="n">
        <v>39.35</v>
      </c>
      <c r="B78" s="77" t="n">
        <v>0.6558</v>
      </c>
      <c r="C78" s="76" t="n">
        <v>480.84</v>
      </c>
      <c r="D78" s="76" t="n">
        <v>450.32</v>
      </c>
    </row>
    <row r="79">
      <c r="A79" s="76" t="n">
        <v>39.85</v>
      </c>
      <c r="B79" s="77" t="n">
        <v>0.6642</v>
      </c>
      <c r="C79" s="76" t="n">
        <v>480.74</v>
      </c>
      <c r="D79" s="76" t="n">
        <v>452.19</v>
      </c>
    </row>
    <row r="80">
      <c r="A80" s="76" t="n">
        <v>40.1</v>
      </c>
      <c r="B80" s="77" t="n">
        <v>0.6683</v>
      </c>
      <c r="C80" s="76" t="n">
        <v>480.68</v>
      </c>
      <c r="D80" s="76" t="n">
        <v>452.75</v>
      </c>
    </row>
    <row r="81">
      <c r="A81" s="76" t="n">
        <v>40.6</v>
      </c>
      <c r="B81" s="77" t="n">
        <v>0.6767</v>
      </c>
      <c r="C81" s="76" t="n">
        <v>480.55</v>
      </c>
      <c r="D81" s="76" t="n">
        <v>453.46</v>
      </c>
    </row>
    <row r="82">
      <c r="A82" s="76" t="n">
        <v>40.85</v>
      </c>
      <c r="B82" s="77" t="n">
        <v>0.6808</v>
      </c>
      <c r="C82" s="76" t="n">
        <v>480.47</v>
      </c>
      <c r="D82" s="76" t="n">
        <v>453.68</v>
      </c>
    </row>
    <row r="83">
      <c r="A83" s="76" t="n">
        <v>41.35</v>
      </c>
      <c r="B83" s="77" t="n">
        <v>0.6892</v>
      </c>
      <c r="C83" s="76" t="n">
        <v>480.3</v>
      </c>
      <c r="D83" s="76" t="n">
        <v>453.96</v>
      </c>
    </row>
    <row r="84">
      <c r="A84" s="76" t="n">
        <v>41.6</v>
      </c>
      <c r="B84" s="77" t="n">
        <v>0.6933</v>
      </c>
      <c r="C84" s="76" t="n">
        <v>480.2</v>
      </c>
      <c r="D84" s="76" t="n">
        <v>454.03</v>
      </c>
    </row>
    <row r="85">
      <c r="A85" s="76" t="n">
        <v>42.1</v>
      </c>
      <c r="B85" s="77" t="n">
        <v>0.7017</v>
      </c>
      <c r="C85" s="76" t="n">
        <v>479.97</v>
      </c>
      <c r="D85" s="76" t="n">
        <v>454.09</v>
      </c>
    </row>
    <row r="86">
      <c r="A86" s="76" t="n">
        <v>42.35</v>
      </c>
      <c r="B86" s="77" t="n">
        <v>0.7058</v>
      </c>
      <c r="C86" s="76" t="n">
        <v>479.84</v>
      </c>
      <c r="D86" s="76" t="n">
        <v>454.08</v>
      </c>
    </row>
    <row r="87">
      <c r="A87" s="76" t="n">
        <v>42.85</v>
      </c>
      <c r="B87" s="77" t="n">
        <v>0.7141999999999999</v>
      </c>
      <c r="C87" s="76" t="n">
        <v>479.55</v>
      </c>
      <c r="D87" s="76" t="n">
        <v>454.01</v>
      </c>
    </row>
    <row r="88">
      <c r="A88" s="76" t="n">
        <v>43.1</v>
      </c>
      <c r="B88" s="77" t="n">
        <v>0.7183</v>
      </c>
      <c r="C88" s="76" t="n">
        <v>479.4</v>
      </c>
      <c r="D88" s="76" t="n">
        <v>453.96</v>
      </c>
    </row>
    <row r="89">
      <c r="A89" s="76" t="n">
        <v>43.6</v>
      </c>
      <c r="B89" s="77" t="n">
        <v>0.7267</v>
      </c>
      <c r="C89" s="76" t="n">
        <v>479.06</v>
      </c>
      <c r="D89" s="76" t="n">
        <v>453.81</v>
      </c>
    </row>
    <row r="90">
      <c r="A90" s="76" t="n">
        <v>43.66</v>
      </c>
      <c r="B90" s="77" t="n">
        <v>0.7277</v>
      </c>
      <c r="C90" s="76" t="n">
        <v>479.12</v>
      </c>
      <c r="D90" s="76" t="n">
        <v>449.63</v>
      </c>
    </row>
    <row r="91">
      <c r="A91" s="76" t="n">
        <v>43.72</v>
      </c>
      <c r="B91" s="77" t="n">
        <v>0.7287</v>
      </c>
      <c r="C91" s="76" t="n">
        <v>479.18</v>
      </c>
      <c r="D91" s="76" t="n">
        <v>446.96</v>
      </c>
    </row>
    <row r="92">
      <c r="A92" s="76" t="n">
        <v>43.78</v>
      </c>
      <c r="B92" s="77" t="n">
        <v>0.7297</v>
      </c>
      <c r="C92" s="76" t="n">
        <v>479.24</v>
      </c>
      <c r="D92" s="76" t="n">
        <v>444.97</v>
      </c>
    </row>
    <row r="93">
      <c r="A93" s="76" t="n">
        <v>43.9</v>
      </c>
      <c r="B93" s="77" t="n">
        <v>0.7317</v>
      </c>
      <c r="C93" s="76" t="n">
        <v>479.36</v>
      </c>
      <c r="D93" s="76" t="n">
        <v>441.97</v>
      </c>
    </row>
    <row r="94">
      <c r="A94" s="76" t="n">
        <v>43.96</v>
      </c>
      <c r="B94" s="77" t="n">
        <v>0.7327</v>
      </c>
      <c r="C94" s="76" t="n">
        <v>479.42</v>
      </c>
      <c r="D94" s="76" t="n">
        <v>440.74</v>
      </c>
    </row>
    <row r="95">
      <c r="A95" s="76" t="n">
        <v>44.08</v>
      </c>
      <c r="B95" s="77" t="n">
        <v>0.7347</v>
      </c>
      <c r="C95" s="76" t="n">
        <v>479.53</v>
      </c>
      <c r="D95" s="76" t="n">
        <v>438.56</v>
      </c>
    </row>
    <row r="96">
      <c r="A96" s="76" t="n">
        <v>44.14</v>
      </c>
      <c r="B96" s="77" t="n">
        <v>0.7357</v>
      </c>
      <c r="C96" s="76" t="n">
        <v>479.59</v>
      </c>
      <c r="D96" s="76" t="n">
        <v>437.59</v>
      </c>
    </row>
    <row r="97">
      <c r="A97" s="76" t="n">
        <v>44.26</v>
      </c>
      <c r="B97" s="77" t="n">
        <v>0.7377</v>
      </c>
      <c r="C97" s="76" t="n">
        <v>479.7</v>
      </c>
      <c r="D97" s="76" t="n">
        <v>435.79</v>
      </c>
    </row>
    <row r="98">
      <c r="A98" s="76" t="n">
        <v>44.32</v>
      </c>
      <c r="B98" s="77" t="n">
        <v>0.7387</v>
      </c>
      <c r="C98" s="76" t="n">
        <v>479.75</v>
      </c>
      <c r="D98" s="76" t="n">
        <v>434.96</v>
      </c>
    </row>
    <row r="99">
      <c r="A99" s="76" t="n">
        <v>44.44</v>
      </c>
      <c r="B99" s="77" t="n">
        <v>0.7407</v>
      </c>
      <c r="C99" s="76" t="n">
        <v>479.86</v>
      </c>
      <c r="D99" s="76" t="n">
        <v>433.39</v>
      </c>
    </row>
    <row r="100">
      <c r="A100" s="76" t="n">
        <v>44.5</v>
      </c>
      <c r="B100" s="77" t="n">
        <v>0.7417</v>
      </c>
      <c r="C100" s="76" t="n">
        <v>479.91</v>
      </c>
      <c r="D100" s="76" t="n">
        <v>432.65</v>
      </c>
    </row>
    <row r="101">
      <c r="A101" s="76" t="n">
        <v>44.62</v>
      </c>
      <c r="B101" s="77" t="n">
        <v>0.7437</v>
      </c>
      <c r="C101" s="76" t="n">
        <v>480.02</v>
      </c>
      <c r="D101" s="76" t="n">
        <v>431.25</v>
      </c>
    </row>
    <row r="102">
      <c r="A102" s="76" t="n">
        <v>44.68</v>
      </c>
      <c r="B102" s="77" t="n">
        <v>0.7447</v>
      </c>
      <c r="C102" s="76" t="n">
        <v>480.07</v>
      </c>
      <c r="D102" s="76" t="n">
        <v>430.57</v>
      </c>
    </row>
    <row r="103">
      <c r="A103" s="76" t="n">
        <v>44.8</v>
      </c>
      <c r="B103" s="77" t="n">
        <v>0.7467</v>
      </c>
      <c r="C103" s="76" t="n">
        <v>480.17</v>
      </c>
      <c r="D103" s="76" t="n">
        <v>429.28</v>
      </c>
    </row>
    <row r="104">
      <c r="A104" s="76" t="n">
        <v>45.3</v>
      </c>
      <c r="B104" s="77" t="n">
        <v>0.755</v>
      </c>
      <c r="C104" s="76" t="n">
        <v>479.61</v>
      </c>
      <c r="D104" s="76" t="n">
        <v>441.41</v>
      </c>
    </row>
    <row r="105">
      <c r="A105" s="76" t="n">
        <v>46.3</v>
      </c>
      <c r="B105" s="77" t="n">
        <v>0.7717000000000001</v>
      </c>
      <c r="C105" s="76" t="n">
        <v>478.42</v>
      </c>
      <c r="D105" s="76" t="n">
        <v>448.64</v>
      </c>
    </row>
    <row r="106">
      <c r="A106" s="76" t="n">
        <v>46.8</v>
      </c>
      <c r="B106" s="77" t="n">
        <v>0.78</v>
      </c>
      <c r="C106" s="76" t="n">
        <v>477.79</v>
      </c>
      <c r="D106" s="76" t="n">
        <v>450.47</v>
      </c>
    </row>
    <row r="107">
      <c r="A107" s="76" t="n">
        <v>47.8</v>
      </c>
      <c r="B107" s="77" t="n">
        <v>0.7967</v>
      </c>
      <c r="C107" s="76" t="n">
        <v>476.44</v>
      </c>
      <c r="D107" s="76" t="n">
        <v>452.94</v>
      </c>
    </row>
    <row r="108">
      <c r="A108" s="76" t="n">
        <v>48.3</v>
      </c>
      <c r="B108" s="77" t="n">
        <v>0.805</v>
      </c>
      <c r="C108" s="76" t="n">
        <v>475.73</v>
      </c>
      <c r="D108" s="76" t="n">
        <v>453.84</v>
      </c>
    </row>
    <row r="109">
      <c r="A109" s="76" t="n">
        <v>49.3</v>
      </c>
      <c r="B109" s="77" t="n">
        <v>0.8217</v>
      </c>
      <c r="C109" s="76" t="n">
        <v>474.29</v>
      </c>
      <c r="D109" s="76" t="n">
        <v>455.22</v>
      </c>
    </row>
    <row r="110">
      <c r="A110" s="76" t="n">
        <v>49.8</v>
      </c>
      <c r="B110" s="77" t="n">
        <v>0.83</v>
      </c>
      <c r="C110" s="76" t="n">
        <v>473.58</v>
      </c>
      <c r="D110" s="76" t="n">
        <v>455.76</v>
      </c>
    </row>
    <row r="111">
      <c r="A111" s="76" t="n">
        <v>50.8</v>
      </c>
      <c r="B111" s="77" t="n">
        <v>0.8467</v>
      </c>
      <c r="C111" s="76" t="n">
        <v>472.18</v>
      </c>
      <c r="D111" s="76" t="n">
        <v>456.66</v>
      </c>
    </row>
    <row r="112">
      <c r="A112" s="76" t="n">
        <v>51.3</v>
      </c>
      <c r="B112" s="77" t="n">
        <v>0.855</v>
      </c>
      <c r="C112" s="76" t="n">
        <v>471.51</v>
      </c>
      <c r="D112" s="76" t="n">
        <v>457.03</v>
      </c>
    </row>
    <row r="113">
      <c r="A113" s="76" t="n">
        <v>52.3</v>
      </c>
      <c r="B113" s="77" t="n">
        <v>0.8717</v>
      </c>
      <c r="C113" s="76" t="n">
        <v>470.26</v>
      </c>
      <c r="D113" s="76" t="n">
        <v>457.64</v>
      </c>
    </row>
    <row r="114">
      <c r="A114" s="76" t="n">
        <v>52.8</v>
      </c>
      <c r="B114" s="77" t="n">
        <v>0.88</v>
      </c>
      <c r="C114" s="76" t="n">
        <v>469.67</v>
      </c>
      <c r="D114" s="76" t="n">
        <v>457.9</v>
      </c>
    </row>
    <row r="115">
      <c r="A115" s="76" t="n">
        <v>53.8</v>
      </c>
      <c r="B115" s="77" t="n">
        <v>0.8967000000000001</v>
      </c>
      <c r="C115" s="76" t="n">
        <v>468.6</v>
      </c>
      <c r="D115" s="76" t="n">
        <v>458.34</v>
      </c>
    </row>
    <row r="116">
      <c r="A116" s="76" t="n">
        <v>54.3</v>
      </c>
      <c r="B116" s="77" t="n">
        <v>0.905</v>
      </c>
      <c r="C116" s="76" t="n">
        <v>468.11</v>
      </c>
      <c r="D116" s="76" t="n">
        <v>458.53</v>
      </c>
    </row>
    <row r="117">
      <c r="A117" s="76" t="n">
        <v>55.3</v>
      </c>
      <c r="B117" s="77" t="n">
        <v>0.9216</v>
      </c>
      <c r="C117" s="76" t="n">
        <v>467.22</v>
      </c>
      <c r="D117" s="76" t="n">
        <v>458.85</v>
      </c>
    </row>
    <row r="118">
      <c r="A118" s="76" t="n">
        <v>55.79</v>
      </c>
      <c r="B118" s="77" t="n">
        <v>0.9298999999999999</v>
      </c>
      <c r="C118" s="76" t="n">
        <v>466.81</v>
      </c>
      <c r="D118" s="76" t="n">
        <v>458.98</v>
      </c>
    </row>
    <row r="119">
      <c r="A119" s="76" t="n">
        <v>56.78</v>
      </c>
      <c r="B119" s="77" t="n">
        <v>0.9464</v>
      </c>
      <c r="C119" s="76" t="n">
        <v>466.08</v>
      </c>
      <c r="D119" s="76" t="n">
        <v>459.21</v>
      </c>
    </row>
    <row r="120">
      <c r="A120" s="76" t="n">
        <v>57.28</v>
      </c>
      <c r="B120" s="77" t="n">
        <v>0.9547</v>
      </c>
      <c r="C120" s="76" t="n">
        <v>465.76</v>
      </c>
      <c r="D120" s="76" t="n">
        <v>459.31</v>
      </c>
    </row>
    <row r="121">
      <c r="A121" s="76" t="n">
        <v>57.78</v>
      </c>
      <c r="B121" s="77" t="n">
        <v>0.9629</v>
      </c>
      <c r="C121" s="76" t="n">
        <v>465.45</v>
      </c>
      <c r="D121" s="76" t="n">
        <v>459.4</v>
      </c>
    </row>
    <row r="122">
      <c r="A122" s="76" t="n">
        <v>58.27</v>
      </c>
      <c r="B122" s="77" t="n">
        <v>0.9712</v>
      </c>
      <c r="C122" s="76" t="n">
        <v>465.16</v>
      </c>
      <c r="D122" s="76" t="n">
        <v>459.47</v>
      </c>
    </row>
    <row r="123">
      <c r="A123" s="76" t="n">
        <v>59.26</v>
      </c>
      <c r="B123" s="77" t="n">
        <v>0.9877</v>
      </c>
      <c r="C123" s="76" t="n">
        <v>464.64</v>
      </c>
      <c r="D123" s="76" t="n">
        <v>459.6</v>
      </c>
    </row>
    <row r="124">
      <c r="A124" s="76" t="n">
        <v>59.76</v>
      </c>
      <c r="B124" s="77" t="n">
        <v>0.996</v>
      </c>
      <c r="C124" s="76" t="n">
        <v>464.41</v>
      </c>
      <c r="D124" s="76" t="n">
        <v>459.65</v>
      </c>
    </row>
    <row r="125">
      <c r="A125" s="76" t="n">
        <v>60.75</v>
      </c>
      <c r="B125" s="77" t="n">
        <v>1.0125</v>
      </c>
      <c r="C125" s="76" t="n">
        <v>463.99</v>
      </c>
      <c r="D125" s="76" t="n">
        <v>459.74</v>
      </c>
    </row>
    <row r="126">
      <c r="A126" s="76" t="n">
        <v>61.25</v>
      </c>
      <c r="B126" s="77" t="n">
        <v>1.0208</v>
      </c>
      <c r="C126" s="76" t="n">
        <v>463.8</v>
      </c>
      <c r="D126" s="76" t="n">
        <v>459.78</v>
      </c>
    </row>
    <row r="127">
      <c r="A127" s="76" t="n">
        <v>62.24</v>
      </c>
      <c r="B127" s="77" t="n">
        <v>1.0373</v>
      </c>
      <c r="C127" s="76" t="n">
        <v>463.45</v>
      </c>
      <c r="D127" s="76" t="n">
        <v>459.83</v>
      </c>
    </row>
    <row r="128">
      <c r="A128" s="76" t="n">
        <v>62.73</v>
      </c>
      <c r="B128" s="77" t="n">
        <v>1.0456</v>
      </c>
      <c r="C128" s="76" t="n">
        <v>463.3</v>
      </c>
      <c r="D128" s="76" t="n">
        <v>459.85</v>
      </c>
    </row>
    <row r="129">
      <c r="A129" s="76" t="n">
        <v>63.73</v>
      </c>
      <c r="B129" s="77" t="n">
        <v>1.0621</v>
      </c>
      <c r="C129" s="76" t="n">
        <v>463.01</v>
      </c>
      <c r="D129" s="76" t="n">
        <v>459.88</v>
      </c>
    </row>
    <row r="130">
      <c r="A130" s="76" t="n">
        <v>64.22</v>
      </c>
      <c r="B130" s="77" t="n">
        <v>1.0703</v>
      </c>
      <c r="C130" s="76" t="n">
        <v>462.88</v>
      </c>
      <c r="D130" s="76" t="n">
        <v>459.89</v>
      </c>
    </row>
    <row r="131">
      <c r="A131" s="76" t="n">
        <v>65.20999999999999</v>
      </c>
      <c r="B131" s="77" t="n">
        <v>1.0869</v>
      </c>
      <c r="C131" s="76" t="n">
        <v>462.64</v>
      </c>
      <c r="D131" s="76" t="n">
        <v>459.9</v>
      </c>
    </row>
    <row r="132">
      <c r="A132" s="76" t="n">
        <v>65.70999999999999</v>
      </c>
      <c r="B132" s="77" t="n">
        <v>1.0951</v>
      </c>
      <c r="C132" s="76" t="n">
        <v>462.54</v>
      </c>
      <c r="D132" s="76" t="n">
        <v>459.9</v>
      </c>
    </row>
    <row r="133">
      <c r="A133" s="76" t="n">
        <v>66.7</v>
      </c>
      <c r="B133" s="77" t="n">
        <v>1.1117</v>
      </c>
      <c r="C133" s="76" t="n">
        <v>462.34</v>
      </c>
      <c r="D133" s="76" t="n">
        <v>459.9</v>
      </c>
    </row>
    <row r="134">
      <c r="A134" s="76" t="n">
        <v>66.95</v>
      </c>
      <c r="B134" s="77" t="n">
        <v>1.1158</v>
      </c>
      <c r="C134" s="76" t="n">
        <v>462.29</v>
      </c>
      <c r="D134" s="76" t="n">
        <v>458.23</v>
      </c>
    </row>
    <row r="135">
      <c r="A135" s="76" t="n">
        <v>67.45</v>
      </c>
      <c r="B135" s="77" t="n">
        <v>1.1242</v>
      </c>
      <c r="C135" s="76" t="n">
        <v>462.2</v>
      </c>
      <c r="D135" s="76" t="n">
        <v>456.59</v>
      </c>
    </row>
    <row r="136">
      <c r="A136" s="76" t="n">
        <v>67.7</v>
      </c>
      <c r="B136" s="77" t="n">
        <v>1.1283</v>
      </c>
      <c r="C136" s="76" t="n">
        <v>462.15</v>
      </c>
      <c r="D136" s="76" t="n">
        <v>456</v>
      </c>
    </row>
    <row r="137">
      <c r="A137" s="76" t="n">
        <v>68.2</v>
      </c>
      <c r="B137" s="77" t="n">
        <v>1.1367</v>
      </c>
      <c r="C137" s="76" t="n">
        <v>462.07</v>
      </c>
      <c r="D137" s="76" t="n">
        <v>455</v>
      </c>
    </row>
    <row r="138">
      <c r="A138" s="76" t="n">
        <v>68.45</v>
      </c>
      <c r="B138" s="77" t="n">
        <v>1.1408</v>
      </c>
      <c r="C138" s="76" t="n">
        <v>462.03</v>
      </c>
      <c r="D138" s="76" t="n">
        <v>454.56</v>
      </c>
    </row>
    <row r="139">
      <c r="A139" s="76" t="n">
        <v>68.95</v>
      </c>
      <c r="B139" s="77" t="n">
        <v>1.1492</v>
      </c>
      <c r="C139" s="76" t="n">
        <v>461.95</v>
      </c>
      <c r="D139" s="76" t="n">
        <v>453.76</v>
      </c>
    </row>
    <row r="140">
      <c r="A140" s="76" t="n">
        <v>69.2</v>
      </c>
      <c r="B140" s="77" t="n">
        <v>1.1533</v>
      </c>
      <c r="C140" s="76" t="n">
        <v>461.91</v>
      </c>
      <c r="D140" s="76" t="n">
        <v>453.38</v>
      </c>
    </row>
    <row r="141">
      <c r="A141" s="76" t="n">
        <v>69.7</v>
      </c>
      <c r="B141" s="77" t="n">
        <v>1.1617</v>
      </c>
      <c r="C141" s="76" t="n">
        <v>461.83</v>
      </c>
      <c r="D141" s="76" t="n">
        <v>452.67</v>
      </c>
    </row>
    <row r="142">
      <c r="A142" s="76" t="n">
        <v>69.95</v>
      </c>
      <c r="B142" s="77" t="n">
        <v>1.1658</v>
      </c>
      <c r="C142" s="76" t="n">
        <v>461.79</v>
      </c>
      <c r="D142" s="76" t="n">
        <v>452.34</v>
      </c>
    </row>
    <row r="143">
      <c r="A143" s="76" t="n">
        <v>70.45</v>
      </c>
      <c r="B143" s="77" t="n">
        <v>1.1742</v>
      </c>
      <c r="C143" s="76" t="n">
        <v>461.7</v>
      </c>
      <c r="D143" s="76" t="n">
        <v>451.7</v>
      </c>
    </row>
    <row r="144">
      <c r="A144" s="76" t="n">
        <v>70.7</v>
      </c>
      <c r="B144" s="77" t="n">
        <v>1.1783</v>
      </c>
      <c r="C144" s="76" t="n">
        <v>461.66</v>
      </c>
      <c r="D144" s="76" t="n">
        <v>451.39</v>
      </c>
    </row>
    <row r="145">
      <c r="A145" s="76" t="n">
        <v>71.2</v>
      </c>
      <c r="B145" s="77" t="n">
        <v>1.1867</v>
      </c>
      <c r="C145" s="76" t="n">
        <v>461.56</v>
      </c>
      <c r="D145" s="76" t="n">
        <v>450.79</v>
      </c>
    </row>
    <row r="146">
      <c r="A146" s="76" t="n">
        <v>71.45</v>
      </c>
      <c r="B146" s="77" t="n">
        <v>1.1908</v>
      </c>
      <c r="C146" s="76" t="n">
        <v>461.51</v>
      </c>
      <c r="D146" s="76" t="n">
        <v>450.5</v>
      </c>
    </row>
    <row r="147">
      <c r="A147" s="76" t="n">
        <v>71.75</v>
      </c>
      <c r="B147" s="77" t="n">
        <v>1.1958</v>
      </c>
      <c r="C147" s="76" t="n">
        <v>461.69</v>
      </c>
      <c r="D147" s="76" t="n">
        <v>446.75</v>
      </c>
    </row>
    <row r="148">
      <c r="A148" s="76" t="n">
        <v>71.8</v>
      </c>
      <c r="B148" s="77" t="n">
        <v>1.1966</v>
      </c>
      <c r="C148" s="76" t="n">
        <v>461.93</v>
      </c>
      <c r="D148" s="76" t="n">
        <v>444.54</v>
      </c>
    </row>
    <row r="149">
      <c r="A149" s="76" t="n">
        <v>71.84</v>
      </c>
      <c r="B149" s="77" t="n">
        <v>1.1974</v>
      </c>
      <c r="C149" s="76" t="n">
        <v>462.16</v>
      </c>
      <c r="D149" s="76" t="n">
        <v>442.94</v>
      </c>
    </row>
    <row r="150">
      <c r="A150" s="76" t="n">
        <v>71.89</v>
      </c>
      <c r="B150" s="77" t="n">
        <v>1.1982</v>
      </c>
      <c r="C150" s="76" t="n">
        <v>462.39</v>
      </c>
      <c r="D150" s="76" t="n">
        <v>441.65</v>
      </c>
    </row>
    <row r="151">
      <c r="A151" s="76" t="n">
        <v>71.98999999999999</v>
      </c>
      <c r="B151" s="77" t="n">
        <v>1.1998</v>
      </c>
      <c r="C151" s="76" t="n">
        <v>462.86</v>
      </c>
      <c r="D151" s="76" t="n">
        <v>439.6</v>
      </c>
    </row>
    <row r="152">
      <c r="A152" s="76" t="n">
        <v>72.03</v>
      </c>
      <c r="B152" s="77" t="n">
        <v>1.2005</v>
      </c>
      <c r="C152" s="76" t="n">
        <v>463.09</v>
      </c>
      <c r="D152" s="76" t="n">
        <v>438.74</v>
      </c>
    </row>
    <row r="153">
      <c r="A153" s="76" t="n">
        <v>72.13</v>
      </c>
      <c r="B153" s="77" t="n">
        <v>1.2021</v>
      </c>
      <c r="C153" s="76" t="n">
        <v>463.56</v>
      </c>
      <c r="D153" s="76" t="n">
        <v>437.22</v>
      </c>
    </row>
    <row r="154">
      <c r="A154" s="76" t="n">
        <v>72.18000000000001</v>
      </c>
      <c r="B154" s="77" t="n">
        <v>1.2029</v>
      </c>
      <c r="C154" s="76" t="n">
        <v>463.79</v>
      </c>
      <c r="D154" s="76" t="n">
        <v>436.54</v>
      </c>
    </row>
    <row r="155">
      <c r="A155" s="76" t="n">
        <v>72.27</v>
      </c>
      <c r="B155" s="77" t="n">
        <v>1.2045</v>
      </c>
      <c r="C155" s="76" t="n">
        <v>464.26</v>
      </c>
      <c r="D155" s="76" t="n">
        <v>435.3</v>
      </c>
    </row>
    <row r="156">
      <c r="A156" s="76" t="n">
        <v>72.31999999999999</v>
      </c>
      <c r="B156" s="77" t="n">
        <v>1.2053</v>
      </c>
      <c r="C156" s="76" t="n">
        <v>464.49</v>
      </c>
      <c r="D156" s="76" t="n">
        <v>434.73</v>
      </c>
    </row>
    <row r="157">
      <c r="A157" s="76" t="n">
        <v>72.41</v>
      </c>
      <c r="B157" s="77" t="n">
        <v>1.2069</v>
      </c>
      <c r="C157" s="76" t="n">
        <v>464.96</v>
      </c>
      <c r="D157" s="76" t="n">
        <v>433.67</v>
      </c>
    </row>
    <row r="158">
      <c r="A158" s="76" t="n">
        <v>72.45999999999999</v>
      </c>
      <c r="B158" s="77" t="n">
        <v>1.2077</v>
      </c>
      <c r="C158" s="76" t="n">
        <v>465.19</v>
      </c>
      <c r="D158" s="76" t="n">
        <v>433.17</v>
      </c>
    </row>
    <row r="159">
      <c r="A159" s="76" t="n">
        <v>72.56</v>
      </c>
      <c r="B159" s="77" t="n">
        <v>1.2093</v>
      </c>
      <c r="C159" s="76" t="n">
        <v>465.65</v>
      </c>
      <c r="D159" s="76" t="n">
        <v>432.23</v>
      </c>
    </row>
    <row r="160">
      <c r="A160" s="76" t="n">
        <v>72.65000000000001</v>
      </c>
      <c r="B160" s="77" t="n">
        <v>1.2108</v>
      </c>
      <c r="C160" s="76" t="n">
        <v>466.11</v>
      </c>
      <c r="D160" s="76" t="n">
        <v>431.36</v>
      </c>
    </row>
    <row r="161">
      <c r="A161" s="76" t="n">
        <v>72.90000000000001</v>
      </c>
      <c r="B161" s="77" t="n">
        <v>1.215</v>
      </c>
      <c r="C161" s="76" t="n">
        <v>466.03</v>
      </c>
      <c r="D161" s="76" t="n">
        <v>438.13</v>
      </c>
    </row>
    <row r="162">
      <c r="A162" s="76" t="n">
        <v>73.15000000000001</v>
      </c>
      <c r="B162" s="77" t="n">
        <v>1.2192</v>
      </c>
      <c r="C162" s="76" t="n">
        <v>465.93</v>
      </c>
      <c r="D162" s="76" t="n">
        <v>440.64</v>
      </c>
    </row>
    <row r="163">
      <c r="A163" s="76" t="n">
        <v>73.65000000000001</v>
      </c>
      <c r="B163" s="77" t="n">
        <v>1.2275</v>
      </c>
      <c r="C163" s="76" t="n">
        <v>465.72</v>
      </c>
      <c r="D163" s="76" t="n">
        <v>442.79</v>
      </c>
    </row>
    <row r="164">
      <c r="A164" s="76" t="n">
        <v>73.90000000000001</v>
      </c>
      <c r="B164" s="77" t="n">
        <v>1.2317</v>
      </c>
      <c r="C164" s="76" t="n">
        <v>465.6</v>
      </c>
      <c r="D164" s="76" t="n">
        <v>443.34</v>
      </c>
    </row>
    <row r="165">
      <c r="A165" s="76" t="n">
        <v>74.40000000000001</v>
      </c>
      <c r="B165" s="77" t="n">
        <v>1.24</v>
      </c>
      <c r="C165" s="76" t="n">
        <v>465.33</v>
      </c>
      <c r="D165" s="76" t="n">
        <v>443.97</v>
      </c>
    </row>
    <row r="166">
      <c r="A166" s="76" t="n">
        <v>74.65000000000001</v>
      </c>
      <c r="B166" s="77" t="n">
        <v>1.2442</v>
      </c>
      <c r="C166" s="76" t="n">
        <v>465.17</v>
      </c>
      <c r="D166" s="76" t="n">
        <v>444.14</v>
      </c>
    </row>
    <row r="167">
      <c r="A167" s="76" t="n">
        <v>75.15000000000001</v>
      </c>
      <c r="B167" s="77" t="n">
        <v>1.2525</v>
      </c>
      <c r="C167" s="76" t="n">
        <v>464.82</v>
      </c>
      <c r="D167" s="76" t="n">
        <v>444.31</v>
      </c>
    </row>
    <row r="168">
      <c r="A168" s="76" t="n">
        <v>75.40000000000001</v>
      </c>
      <c r="B168" s="77" t="n">
        <v>1.2567</v>
      </c>
      <c r="C168" s="76" t="n">
        <v>464.62</v>
      </c>
      <c r="D168" s="76" t="n">
        <v>444.34</v>
      </c>
    </row>
    <row r="169">
      <c r="A169" s="76" t="n">
        <v>75.90000000000001</v>
      </c>
      <c r="B169" s="77" t="n">
        <v>1.265</v>
      </c>
      <c r="C169" s="76" t="n">
        <v>464.18</v>
      </c>
      <c r="D169" s="76" t="n">
        <v>444.3</v>
      </c>
    </row>
    <row r="170">
      <c r="A170" s="76" t="n">
        <v>76.15000000000001</v>
      </c>
      <c r="B170" s="77" t="n">
        <v>1.2692</v>
      </c>
      <c r="C170" s="76" t="n">
        <v>463.94</v>
      </c>
      <c r="D170" s="76" t="n">
        <v>444.25</v>
      </c>
    </row>
    <row r="171">
      <c r="A171" s="76" t="n">
        <v>76.65000000000001</v>
      </c>
      <c r="B171" s="77" t="n">
        <v>1.2775</v>
      </c>
      <c r="C171" s="76" t="n">
        <v>463.44</v>
      </c>
      <c r="D171" s="76" t="n">
        <v>444.11</v>
      </c>
    </row>
    <row r="172">
      <c r="A172" s="76" t="n">
        <v>76.90000000000001</v>
      </c>
      <c r="B172" s="77" t="n">
        <v>1.2817</v>
      </c>
      <c r="C172" s="76" t="n">
        <v>463.18</v>
      </c>
      <c r="D172" s="76" t="n">
        <v>444.02</v>
      </c>
    </row>
    <row r="173">
      <c r="A173" s="76" t="n">
        <v>77.40000000000001</v>
      </c>
      <c r="B173" s="77" t="n">
        <v>1.29</v>
      </c>
      <c r="C173" s="76" t="n">
        <v>462.63</v>
      </c>
      <c r="D173" s="76" t="n">
        <v>443.8</v>
      </c>
    </row>
    <row r="174">
      <c r="A174" s="76" t="n">
        <v>77.65000000000001</v>
      </c>
      <c r="B174" s="77" t="n">
        <v>1.2942</v>
      </c>
      <c r="C174" s="76" t="n">
        <v>462.36</v>
      </c>
      <c r="D174" s="76" t="n">
        <v>443.68</v>
      </c>
    </row>
    <row r="175">
      <c r="A175" s="76" t="n">
        <v>77.75</v>
      </c>
      <c r="B175" s="77" t="n">
        <v>1.2958</v>
      </c>
      <c r="C175" s="76" t="n">
        <v>462.72</v>
      </c>
      <c r="D175" s="76" t="n">
        <v>437.37</v>
      </c>
    </row>
    <row r="176">
      <c r="A176" s="76" t="n">
        <v>77.79000000000001</v>
      </c>
      <c r="B176" s="77" t="n">
        <v>1.2965</v>
      </c>
      <c r="C176" s="76" t="n">
        <v>462.91</v>
      </c>
      <c r="D176" s="76" t="n">
        <v>435.65</v>
      </c>
    </row>
    <row r="177">
      <c r="A177" s="76" t="n">
        <v>77.89</v>
      </c>
      <c r="B177" s="77" t="n">
        <v>1.2981</v>
      </c>
      <c r="C177" s="76" t="n">
        <v>463.28</v>
      </c>
      <c r="D177" s="76" t="n">
        <v>433.09</v>
      </c>
    </row>
    <row r="178">
      <c r="A178" s="76" t="n">
        <v>77.94</v>
      </c>
      <c r="B178" s="77" t="n">
        <v>1.2989</v>
      </c>
      <c r="C178" s="76" t="n">
        <v>463.46</v>
      </c>
      <c r="D178" s="76" t="n">
        <v>432.06</v>
      </c>
    </row>
    <row r="179">
      <c r="A179" s="76" t="n">
        <v>77.98</v>
      </c>
      <c r="B179" s="77" t="n">
        <v>1.2997</v>
      </c>
      <c r="C179" s="76" t="n">
        <v>463.64</v>
      </c>
      <c r="D179" s="76" t="n">
        <v>431.13</v>
      </c>
    </row>
    <row r="180">
      <c r="A180" s="76" t="n">
        <v>78.03</v>
      </c>
      <c r="B180" s="77" t="n">
        <v>1.3005</v>
      </c>
      <c r="C180" s="76" t="n">
        <v>463.83</v>
      </c>
      <c r="D180" s="76" t="n">
        <v>430.28</v>
      </c>
    </row>
    <row r="181">
      <c r="A181" s="76" t="n">
        <v>78.12</v>
      </c>
      <c r="B181" s="77" t="n">
        <v>1.3021</v>
      </c>
      <c r="C181" s="76" t="n">
        <v>464.19</v>
      </c>
      <c r="D181" s="76" t="n">
        <v>428.76</v>
      </c>
    </row>
    <row r="182">
      <c r="A182" s="76" t="n">
        <v>78.17</v>
      </c>
      <c r="B182" s="77" t="n">
        <v>1.3029</v>
      </c>
      <c r="C182" s="76" t="n">
        <v>464.37</v>
      </c>
      <c r="D182" s="76" t="n">
        <v>428.06</v>
      </c>
    </row>
    <row r="183">
      <c r="A183" s="76" t="n">
        <v>78.27</v>
      </c>
      <c r="B183" s="77" t="n">
        <v>1.3045</v>
      </c>
      <c r="C183" s="76" t="n">
        <v>464.74</v>
      </c>
      <c r="D183" s="76" t="n">
        <v>426.79</v>
      </c>
    </row>
    <row r="184">
      <c r="A184" s="76" t="n">
        <v>78.31</v>
      </c>
      <c r="B184" s="77" t="n">
        <v>1.3053</v>
      </c>
      <c r="C184" s="76" t="n">
        <v>464.92</v>
      </c>
      <c r="D184" s="76" t="n">
        <v>426.2</v>
      </c>
    </row>
    <row r="185">
      <c r="A185" s="76" t="n">
        <v>78.41</v>
      </c>
      <c r="B185" s="77" t="n">
        <v>1.3068</v>
      </c>
      <c r="C185" s="76" t="n">
        <v>465.29</v>
      </c>
      <c r="D185" s="76" t="n">
        <v>425.1</v>
      </c>
    </row>
    <row r="186">
      <c r="A186" s="76" t="n">
        <v>78.45999999999999</v>
      </c>
      <c r="B186" s="77" t="n">
        <v>1.3076</v>
      </c>
      <c r="C186" s="76" t="n">
        <v>465.47</v>
      </c>
      <c r="D186" s="76" t="n">
        <v>424.58</v>
      </c>
    </row>
    <row r="187">
      <c r="A187" s="76" t="n">
        <v>78.55</v>
      </c>
      <c r="B187" s="77" t="n">
        <v>1.3092</v>
      </c>
      <c r="C187" s="76" t="n">
        <v>465.84</v>
      </c>
      <c r="D187" s="76" t="n">
        <v>423.59</v>
      </c>
    </row>
    <row r="188">
      <c r="A188" s="76" t="n">
        <v>78.59999999999999</v>
      </c>
      <c r="B188" s="77" t="n">
        <v>1.31</v>
      </c>
      <c r="C188" s="76" t="n">
        <v>466.02</v>
      </c>
      <c r="D188" s="76" t="n">
        <v>423.13</v>
      </c>
    </row>
    <row r="189">
      <c r="A189" s="76" t="n">
        <v>79.59</v>
      </c>
      <c r="B189" s="77" t="n">
        <v>1.3265</v>
      </c>
      <c r="C189" s="76" t="n">
        <v>464.53</v>
      </c>
      <c r="D189" s="76" t="n">
        <v>439.19</v>
      </c>
    </row>
    <row r="190">
      <c r="A190" s="76" t="n">
        <v>80.09</v>
      </c>
      <c r="B190" s="77" t="n">
        <v>1.3348</v>
      </c>
      <c r="C190" s="76" t="n">
        <v>463.73</v>
      </c>
      <c r="D190" s="76" t="n">
        <v>441.51</v>
      </c>
    </row>
    <row r="191">
      <c r="A191" s="76" t="n">
        <v>81.08</v>
      </c>
      <c r="B191" s="77" t="n">
        <v>1.3513</v>
      </c>
      <c r="C191" s="76" t="n">
        <v>462.03</v>
      </c>
      <c r="D191" s="76" t="n">
        <v>444.19</v>
      </c>
    </row>
    <row r="192">
      <c r="A192" s="76" t="n">
        <v>81.58</v>
      </c>
      <c r="B192" s="77" t="n">
        <v>1.3596</v>
      </c>
      <c r="C192" s="76" t="n">
        <v>461.16</v>
      </c>
      <c r="D192" s="76" t="n">
        <v>445.07</v>
      </c>
    </row>
    <row r="193">
      <c r="A193" s="76" t="n">
        <v>82.56999999999999</v>
      </c>
      <c r="B193" s="77" t="n">
        <v>1.3761</v>
      </c>
      <c r="C193" s="76" t="n">
        <v>459.45</v>
      </c>
      <c r="D193" s="76" t="n">
        <v>446.33</v>
      </c>
    </row>
    <row r="194">
      <c r="A194" s="76" t="n">
        <v>83.06</v>
      </c>
      <c r="B194" s="77" t="n">
        <v>1.3844</v>
      </c>
      <c r="C194" s="76" t="n">
        <v>458.64</v>
      </c>
      <c r="D194" s="76" t="n">
        <v>446.8</v>
      </c>
    </row>
    <row r="195">
      <c r="A195" s="76" t="n">
        <v>84.05</v>
      </c>
      <c r="B195" s="77" t="n">
        <v>1.4009</v>
      </c>
      <c r="C195" s="76" t="n">
        <v>457.17</v>
      </c>
      <c r="D195" s="76" t="n">
        <v>447.52</v>
      </c>
    </row>
    <row r="196">
      <c r="A196" s="76" t="n">
        <v>84.55</v>
      </c>
      <c r="B196" s="77" t="n">
        <v>1.4092</v>
      </c>
      <c r="C196" s="76" t="n">
        <v>456.52</v>
      </c>
      <c r="D196" s="76" t="n">
        <v>447.8</v>
      </c>
    </row>
    <row r="197">
      <c r="A197" s="76" t="n">
        <v>85.54000000000001</v>
      </c>
      <c r="B197" s="77" t="n">
        <v>1.4257</v>
      </c>
      <c r="C197" s="76" t="n">
        <v>455.37</v>
      </c>
      <c r="D197" s="76" t="n">
        <v>448.25</v>
      </c>
    </row>
    <row r="198">
      <c r="A198" s="76" t="n">
        <v>86.04000000000001</v>
      </c>
      <c r="B198" s="77" t="n">
        <v>1.434</v>
      </c>
      <c r="C198" s="76" t="n">
        <v>454.87</v>
      </c>
      <c r="D198" s="76" t="n">
        <v>448.42</v>
      </c>
    </row>
    <row r="199">
      <c r="A199" s="76" t="n">
        <v>87.03</v>
      </c>
      <c r="B199" s="77" t="n">
        <v>1.4505</v>
      </c>
      <c r="C199" s="76" t="n">
        <v>454.01</v>
      </c>
      <c r="D199" s="76" t="n">
        <v>448.69</v>
      </c>
    </row>
    <row r="200">
      <c r="A200" s="76" t="n">
        <v>87.53</v>
      </c>
      <c r="B200" s="77" t="n">
        <v>1.4588</v>
      </c>
      <c r="C200" s="76" t="n">
        <v>453.63</v>
      </c>
      <c r="D200" s="76" t="n">
        <v>448.8</v>
      </c>
    </row>
    <row r="201">
      <c r="A201" s="76" t="n">
        <v>88.52</v>
      </c>
      <c r="B201" s="77" t="n">
        <v>1.4753</v>
      </c>
      <c r="C201" s="76" t="n">
        <v>453</v>
      </c>
      <c r="D201" s="76" t="n">
        <v>448.97</v>
      </c>
    </row>
    <row r="202">
      <c r="A202" s="76" t="n">
        <v>89.01000000000001</v>
      </c>
      <c r="B202" s="77" t="n">
        <v>1.4835</v>
      </c>
      <c r="C202" s="76" t="n">
        <v>452.72</v>
      </c>
      <c r="D202" s="76" t="n">
        <v>449.03</v>
      </c>
    </row>
    <row r="203">
      <c r="A203" s="76" t="n">
        <v>90</v>
      </c>
      <c r="B203" s="77" t="n">
        <v>1.5001</v>
      </c>
      <c r="C203" s="76" t="n">
        <v>452.25</v>
      </c>
      <c r="D203" s="76" t="n">
        <v>449.12</v>
      </c>
    </row>
    <row r="204">
      <c r="A204" s="76" t="n">
        <v>90.5</v>
      </c>
      <c r="B204" s="77" t="n">
        <v>1.5083</v>
      </c>
      <c r="C204" s="76" t="n">
        <v>452.05</v>
      </c>
      <c r="D204" s="76" t="n">
        <v>449.15</v>
      </c>
    </row>
    <row r="205">
      <c r="A205" s="76" t="n">
        <v>91.5</v>
      </c>
      <c r="B205" s="77" t="n">
        <v>1.525</v>
      </c>
      <c r="C205" s="76" t="n">
        <v>451.69</v>
      </c>
      <c r="D205" s="76" t="n">
        <v>449.19</v>
      </c>
    </row>
    <row r="206">
      <c r="A206" s="76" t="n">
        <v>92</v>
      </c>
      <c r="B206" s="77" t="n">
        <v>1.5333</v>
      </c>
      <c r="C206" s="76" t="n">
        <v>451.54</v>
      </c>
      <c r="D206" s="76" t="n">
        <v>449.2</v>
      </c>
    </row>
    <row r="207">
      <c r="A207" s="76" t="n">
        <v>93</v>
      </c>
      <c r="B207" s="77" t="n">
        <v>1.55</v>
      </c>
      <c r="C207" s="76" t="n">
        <v>451.27</v>
      </c>
      <c r="D207" s="76" t="n">
        <v>449.21</v>
      </c>
    </row>
    <row r="208">
      <c r="A208" s="76" t="n">
        <v>93.5</v>
      </c>
      <c r="B208" s="77" t="n">
        <v>1.5583</v>
      </c>
      <c r="C208" s="76" t="n">
        <v>451.15</v>
      </c>
      <c r="D208" s="76" t="n">
        <v>449.21</v>
      </c>
    </row>
    <row r="209">
      <c r="A209" s="76" t="n">
        <v>94</v>
      </c>
      <c r="B209" s="77" t="n">
        <v>1.5667</v>
      </c>
      <c r="C209" s="76" t="n">
        <v>451.04</v>
      </c>
      <c r="D209" s="76" t="n">
        <v>449.2</v>
      </c>
    </row>
    <row r="210">
      <c r="A210" s="76" t="n">
        <v>94.5</v>
      </c>
      <c r="B210" s="77" t="n">
        <v>1.575</v>
      </c>
      <c r="C210" s="76" t="n">
        <v>450.94</v>
      </c>
      <c r="D210" s="76" t="n">
        <v>449.19</v>
      </c>
    </row>
    <row r="211">
      <c r="A211" s="76" t="n">
        <v>95.5</v>
      </c>
      <c r="B211" s="77" t="n">
        <v>1.5917</v>
      </c>
      <c r="C211" s="76" t="n">
        <v>450.76</v>
      </c>
      <c r="D211" s="76" t="n">
        <v>449.16</v>
      </c>
    </row>
    <row r="212">
      <c r="A212" s="76" t="n">
        <v>96</v>
      </c>
      <c r="B212" s="77" t="n">
        <v>1.6</v>
      </c>
      <c r="C212" s="76" t="n">
        <v>450.68</v>
      </c>
      <c r="D212" s="76" t="n">
        <v>449.14</v>
      </c>
    </row>
    <row r="213">
      <c r="A213" s="76" t="n">
        <v>97</v>
      </c>
      <c r="B213" s="77" t="n">
        <v>1.6167</v>
      </c>
      <c r="C213" s="76" t="n">
        <v>450.53</v>
      </c>
      <c r="D213" s="76" t="n">
        <v>449.1</v>
      </c>
    </row>
    <row r="214">
      <c r="A214" s="76" t="n">
        <v>97.5</v>
      </c>
      <c r="B214" s="77" t="n">
        <v>1.625</v>
      </c>
      <c r="C214" s="76" t="n">
        <v>450.46</v>
      </c>
      <c r="D214" s="76" t="n">
        <v>449.07</v>
      </c>
    </row>
    <row r="215">
      <c r="A215" s="76" t="n">
        <v>98.5</v>
      </c>
      <c r="B215" s="77" t="n">
        <v>1.6417</v>
      </c>
      <c r="C215" s="76" t="n">
        <v>450.33</v>
      </c>
      <c r="D215" s="76" t="n">
        <v>449.02</v>
      </c>
    </row>
    <row r="216">
      <c r="A216" s="76" t="n">
        <v>99</v>
      </c>
      <c r="B216" s="77" t="n">
        <v>1.65</v>
      </c>
      <c r="C216" s="76" t="n">
        <v>450.28</v>
      </c>
      <c r="D216" s="76" t="n">
        <v>448.99</v>
      </c>
    </row>
    <row r="217">
      <c r="A217" s="76" t="n">
        <v>100</v>
      </c>
      <c r="B217" s="77" t="n">
        <v>1.6667</v>
      </c>
      <c r="C217" s="76" t="n">
        <v>450.17</v>
      </c>
      <c r="D217" s="76" t="n">
        <v>448.93</v>
      </c>
    </row>
    <row r="218">
      <c r="A218" s="76" t="n">
        <v>100.5</v>
      </c>
      <c r="B218" s="77" t="n">
        <v>1.675</v>
      </c>
      <c r="C218" s="76" t="n">
        <v>450.11</v>
      </c>
      <c r="D218" s="76" t="n">
        <v>448.9</v>
      </c>
    </row>
    <row r="219">
      <c r="A219" s="76" t="n">
        <v>101.5</v>
      </c>
      <c r="B219" s="77" t="n">
        <v>1.6917</v>
      </c>
      <c r="C219" s="76" t="n">
        <v>450.01</v>
      </c>
      <c r="D219" s="76" t="n">
        <v>448.84</v>
      </c>
    </row>
    <row r="220">
      <c r="A220" s="76" t="n">
        <v>102</v>
      </c>
      <c r="B220" s="77" t="n">
        <v>1.7</v>
      </c>
      <c r="C220" s="76" t="n">
        <v>449.97</v>
      </c>
      <c r="D220" s="76" t="n">
        <v>448.81</v>
      </c>
    </row>
    <row r="221">
      <c r="A221" s="76" t="n">
        <v>103</v>
      </c>
      <c r="B221" s="77" t="n">
        <v>1.7167</v>
      </c>
      <c r="C221" s="76" t="n">
        <v>449.88</v>
      </c>
      <c r="D221" s="76" t="n">
        <v>448.74</v>
      </c>
    </row>
    <row r="222">
      <c r="A222" s="76" t="n">
        <v>103.5</v>
      </c>
      <c r="B222" s="77" t="n">
        <v>1.725</v>
      </c>
      <c r="C222" s="76" t="n">
        <v>449.83</v>
      </c>
      <c r="D222" s="76" t="n">
        <v>448.71</v>
      </c>
    </row>
    <row r="223">
      <c r="A223" s="76" t="n">
        <v>104.5</v>
      </c>
      <c r="B223" s="77" t="n">
        <v>1.7416</v>
      </c>
      <c r="C223" s="76" t="n">
        <v>449.75</v>
      </c>
      <c r="D223" s="76" t="n">
        <v>448.64</v>
      </c>
    </row>
    <row r="224">
      <c r="A224" s="76" t="n">
        <v>105</v>
      </c>
      <c r="B224" s="77" t="n">
        <v>1.75</v>
      </c>
      <c r="C224" s="76" t="n">
        <v>449.71</v>
      </c>
      <c r="D224" s="76" t="n">
        <v>448.61</v>
      </c>
    </row>
    <row r="225">
      <c r="A225" s="76" t="n">
        <v>106</v>
      </c>
      <c r="B225" s="77" t="n">
        <v>1.7666</v>
      </c>
      <c r="C225" s="76" t="n">
        <v>449.62</v>
      </c>
      <c r="D225" s="76" t="n">
        <v>448.54</v>
      </c>
    </row>
    <row r="226">
      <c r="A226" s="76" t="n">
        <v>106.5</v>
      </c>
      <c r="B226" s="77" t="n">
        <v>1.775</v>
      </c>
      <c r="C226" s="76" t="n">
        <v>449.58</v>
      </c>
      <c r="D226" s="76" t="n">
        <v>448.5</v>
      </c>
    </row>
    <row r="227">
      <c r="A227" s="76" t="n">
        <v>107.5</v>
      </c>
      <c r="B227" s="77" t="n">
        <v>1.7916</v>
      </c>
      <c r="C227" s="76" t="n">
        <v>449.5</v>
      </c>
      <c r="D227" s="76" t="n">
        <v>448.43</v>
      </c>
    </row>
    <row r="228">
      <c r="A228" s="76" t="n">
        <v>108</v>
      </c>
      <c r="B228" s="77" t="n">
        <v>1.8</v>
      </c>
      <c r="C228" s="76" t="n">
        <v>449.47</v>
      </c>
      <c r="D228" s="76" t="n">
        <v>448.39</v>
      </c>
    </row>
    <row r="229">
      <c r="A229" s="76" t="n">
        <v>109</v>
      </c>
      <c r="B229" s="77" t="n">
        <v>1.8166</v>
      </c>
      <c r="C229" s="76" t="n">
        <v>449.39</v>
      </c>
      <c r="D229" s="76" t="n">
        <v>448.32</v>
      </c>
    </row>
    <row r="230">
      <c r="A230" s="76" t="n">
        <v>109.5</v>
      </c>
      <c r="B230" s="77" t="n">
        <v>1.825</v>
      </c>
      <c r="C230" s="76" t="n">
        <v>449.35</v>
      </c>
      <c r="D230" s="76" t="n">
        <v>448.29</v>
      </c>
    </row>
    <row r="231">
      <c r="A231" s="76" t="n">
        <v>110.5</v>
      </c>
      <c r="B231" s="77" t="n">
        <v>1.8416</v>
      </c>
      <c r="C231" s="76" t="n">
        <v>449.27</v>
      </c>
      <c r="D231" s="76" t="n">
        <v>448.22</v>
      </c>
    </row>
    <row r="232">
      <c r="A232" s="76" t="n">
        <v>111</v>
      </c>
      <c r="B232" s="77" t="n">
        <v>1.8499</v>
      </c>
      <c r="C232" s="76" t="n">
        <v>449.24</v>
      </c>
      <c r="D232" s="76" t="n">
        <v>448.18</v>
      </c>
    </row>
    <row r="233">
      <c r="A233" s="76" t="n">
        <v>112</v>
      </c>
      <c r="B233" s="77" t="n">
        <v>1.8666</v>
      </c>
      <c r="C233" s="76" t="n">
        <v>449.16</v>
      </c>
      <c r="D233" s="76" t="n">
        <v>448.11</v>
      </c>
    </row>
    <row r="234">
      <c r="A234" s="76" t="n">
        <v>112.5</v>
      </c>
      <c r="B234" s="77" t="n">
        <v>1.8749</v>
      </c>
      <c r="C234" s="76" t="n">
        <v>449.12</v>
      </c>
      <c r="D234" s="76" t="n">
        <v>448.07</v>
      </c>
    </row>
    <row r="235">
      <c r="A235" s="76" t="n">
        <v>113.5</v>
      </c>
      <c r="B235" s="77" t="n">
        <v>1.8916</v>
      </c>
      <c r="C235" s="76" t="n">
        <v>449.05</v>
      </c>
      <c r="D235" s="76" t="n">
        <v>448</v>
      </c>
    </row>
    <row r="236">
      <c r="A236" s="76" t="n">
        <v>114</v>
      </c>
      <c r="B236" s="77" t="n">
        <v>1.8999</v>
      </c>
      <c r="C236" s="76" t="n">
        <v>449.01</v>
      </c>
      <c r="D236" s="76" t="n">
        <v>447.96</v>
      </c>
    </row>
    <row r="237">
      <c r="A237" s="76" t="n">
        <v>114.5</v>
      </c>
      <c r="B237" s="77" t="n">
        <v>1.9083</v>
      </c>
      <c r="C237" s="76" t="n">
        <v>448.97</v>
      </c>
      <c r="D237" s="76" t="n">
        <v>447.93</v>
      </c>
    </row>
    <row r="238">
      <c r="A238" s="76" t="n">
        <v>115</v>
      </c>
      <c r="B238" s="77" t="n">
        <v>1.9166</v>
      </c>
      <c r="C238" s="76" t="n">
        <v>448.94</v>
      </c>
      <c r="D238" s="76" t="n">
        <v>447.89</v>
      </c>
    </row>
    <row r="239">
      <c r="A239" s="76" t="n">
        <v>116</v>
      </c>
      <c r="B239" s="77" t="n">
        <v>1.9333</v>
      </c>
      <c r="C239" s="76" t="n">
        <v>448.86</v>
      </c>
      <c r="D239" s="76" t="n">
        <v>447.82</v>
      </c>
    </row>
    <row r="240">
      <c r="A240" s="76" t="n">
        <v>116.5</v>
      </c>
      <c r="B240" s="77" t="n">
        <v>1.9416</v>
      </c>
      <c r="C240" s="76" t="n">
        <v>448.83</v>
      </c>
      <c r="D240" s="76" t="n">
        <v>447.78</v>
      </c>
    </row>
    <row r="241">
      <c r="A241" s="76" t="n">
        <v>117.49</v>
      </c>
      <c r="B241" s="77" t="n">
        <v>1.9582</v>
      </c>
      <c r="C241" s="76" t="n">
        <v>448.75</v>
      </c>
      <c r="D241" s="76" t="n">
        <v>447.71</v>
      </c>
    </row>
    <row r="242">
      <c r="A242" s="76" t="n">
        <v>117.99</v>
      </c>
      <c r="B242" s="77" t="n">
        <v>1.9666</v>
      </c>
      <c r="C242" s="76" t="n">
        <v>448.72</v>
      </c>
      <c r="D242" s="76" t="n">
        <v>447.67</v>
      </c>
    </row>
    <row r="243">
      <c r="A243" s="76" t="n">
        <v>118.99</v>
      </c>
      <c r="B243" s="77" t="n">
        <v>1.9832</v>
      </c>
      <c r="C243" s="76" t="n">
        <v>448.64</v>
      </c>
      <c r="D243" s="76" t="n">
        <v>447.6</v>
      </c>
    </row>
    <row r="244">
      <c r="A244" s="76" t="n">
        <v>119.49</v>
      </c>
      <c r="B244" s="77" t="n">
        <v>1.9916</v>
      </c>
      <c r="C244" s="76" t="n">
        <v>448.61</v>
      </c>
      <c r="D244" s="76" t="n">
        <v>447.56</v>
      </c>
    </row>
    <row r="245">
      <c r="A245" s="76" t="n">
        <v>120.49</v>
      </c>
      <c r="B245" s="77" t="n">
        <v>2.0082</v>
      </c>
      <c r="C245" s="76" t="n">
        <v>448.53</v>
      </c>
      <c r="D245" s="76" t="n">
        <v>447.49</v>
      </c>
    </row>
    <row r="246">
      <c r="A246" s="76" t="n">
        <v>120.99</v>
      </c>
      <c r="B246" s="77" t="n">
        <v>2.0166</v>
      </c>
      <c r="C246" s="76" t="n">
        <v>448.5</v>
      </c>
      <c r="D246" s="76" t="n">
        <v>447.45</v>
      </c>
    </row>
    <row r="247">
      <c r="A247" s="76" t="n">
        <v>121.99</v>
      </c>
      <c r="B247" s="77" t="n">
        <v>2.0332</v>
      </c>
      <c r="C247" s="76" t="n">
        <v>448.42</v>
      </c>
      <c r="D247" s="76" t="n">
        <v>447.38</v>
      </c>
    </row>
    <row r="248">
      <c r="A248" s="76" t="n">
        <v>122.49</v>
      </c>
      <c r="B248" s="77" t="n">
        <v>2.0416</v>
      </c>
      <c r="C248" s="76" t="n">
        <v>448.39</v>
      </c>
      <c r="D248" s="76" t="n">
        <v>447.34</v>
      </c>
    </row>
    <row r="249">
      <c r="A249" s="76" t="n">
        <v>123.49</v>
      </c>
      <c r="B249" s="77" t="n">
        <v>2.0582</v>
      </c>
      <c r="C249" s="76" t="n">
        <v>448.31</v>
      </c>
      <c r="D249" s="76" t="n">
        <v>447.27</v>
      </c>
    </row>
    <row r="250">
      <c r="A250" s="76" t="n">
        <v>123.99</v>
      </c>
      <c r="B250" s="77" t="n">
        <v>2.0665</v>
      </c>
      <c r="C250" s="76" t="n">
        <v>448.28</v>
      </c>
      <c r="D250" s="76" t="n">
        <v>447.24</v>
      </c>
    </row>
    <row r="251">
      <c r="A251" s="76" t="n">
        <v>124.99</v>
      </c>
      <c r="B251" s="77" t="n">
        <v>2.0832</v>
      </c>
      <c r="C251" s="76" t="n">
        <v>448.2</v>
      </c>
      <c r="D251" s="76" t="n">
        <v>447.16</v>
      </c>
    </row>
    <row r="252">
      <c r="A252" s="76" t="n">
        <v>125.24</v>
      </c>
      <c r="B252" s="77" t="n">
        <v>2.0874</v>
      </c>
      <c r="C252" s="76" t="n">
        <v>448.19</v>
      </c>
      <c r="D252" s="76" t="n">
        <v>446.39</v>
      </c>
    </row>
    <row r="253">
      <c r="A253" s="76" t="n">
        <v>125.74</v>
      </c>
      <c r="B253" s="77" t="n">
        <v>2.0957</v>
      </c>
      <c r="C253" s="76" t="n">
        <v>448.15</v>
      </c>
      <c r="D253" s="76" t="n">
        <v>445.63</v>
      </c>
    </row>
    <row r="254">
      <c r="A254" s="76" t="n">
        <v>125.99</v>
      </c>
      <c r="B254" s="77" t="n">
        <v>2.0999</v>
      </c>
      <c r="C254" s="76" t="n">
        <v>448.13</v>
      </c>
      <c r="D254" s="76" t="n">
        <v>445.35</v>
      </c>
    </row>
    <row r="255">
      <c r="A255" s="76" t="n">
        <v>126.49</v>
      </c>
      <c r="B255" s="77" t="n">
        <v>2.1082</v>
      </c>
      <c r="C255" s="76" t="n">
        <v>448.09</v>
      </c>
      <c r="D255" s="76" t="n">
        <v>444.87</v>
      </c>
    </row>
    <row r="256">
      <c r="A256" s="76" t="n">
        <v>126.74</v>
      </c>
      <c r="B256" s="77" t="n">
        <v>2.1124</v>
      </c>
      <c r="C256" s="76" t="n">
        <v>448.07</v>
      </c>
      <c r="D256" s="76" t="n">
        <v>444.65</v>
      </c>
    </row>
    <row r="257">
      <c r="A257" s="76" t="n">
        <v>127.24</v>
      </c>
      <c r="B257" s="77" t="n">
        <v>2.1207</v>
      </c>
      <c r="C257" s="76" t="n">
        <v>448.03</v>
      </c>
      <c r="D257" s="76" t="n">
        <v>444.25</v>
      </c>
    </row>
    <row r="258">
      <c r="A258" s="76" t="n">
        <v>127.49</v>
      </c>
      <c r="B258" s="77" t="n">
        <v>2.1249</v>
      </c>
      <c r="C258" s="76" t="n">
        <v>448</v>
      </c>
      <c r="D258" s="76" t="n">
        <v>444.06</v>
      </c>
    </row>
    <row r="259">
      <c r="A259" s="76" t="n">
        <v>127.99</v>
      </c>
      <c r="B259" s="77" t="n">
        <v>2.1332</v>
      </c>
      <c r="C259" s="76" t="n">
        <v>447.95</v>
      </c>
      <c r="D259" s="76" t="n">
        <v>443.7</v>
      </c>
    </row>
    <row r="260">
      <c r="A260" s="76" t="n">
        <v>128.24</v>
      </c>
      <c r="B260" s="77" t="n">
        <v>2.1374</v>
      </c>
      <c r="C260" s="76" t="n">
        <v>447.92</v>
      </c>
      <c r="D260" s="76" t="n">
        <v>443.53</v>
      </c>
    </row>
    <row r="261">
      <c r="A261" s="76" t="n">
        <v>128.74</v>
      </c>
      <c r="B261" s="77" t="n">
        <v>2.1457</v>
      </c>
      <c r="C261" s="76" t="n">
        <v>447.85</v>
      </c>
      <c r="D261" s="76" t="n">
        <v>443.21</v>
      </c>
    </row>
    <row r="262">
      <c r="A262" s="76" t="n">
        <v>128.99</v>
      </c>
      <c r="B262" s="77" t="n">
        <v>2.1499</v>
      </c>
      <c r="C262" s="76" t="n">
        <v>447.81</v>
      </c>
      <c r="D262" s="76" t="n">
        <v>443.05</v>
      </c>
    </row>
    <row r="263">
      <c r="A263" s="76" t="n">
        <v>129.49</v>
      </c>
      <c r="B263" s="77" t="n">
        <v>2.1582</v>
      </c>
      <c r="C263" s="76" t="n">
        <v>447.72</v>
      </c>
      <c r="D263" s="76" t="n">
        <v>442.74</v>
      </c>
    </row>
    <row r="264">
      <c r="A264" s="76" t="n">
        <v>129.74</v>
      </c>
      <c r="B264" s="77" t="n">
        <v>2.1624</v>
      </c>
      <c r="C264" s="76" t="n">
        <v>447.67</v>
      </c>
      <c r="D264" s="76" t="n">
        <v>442.59</v>
      </c>
    </row>
    <row r="265">
      <c r="A265" s="76" t="n">
        <v>130.05</v>
      </c>
      <c r="B265" s="77" t="n">
        <v>2.1675</v>
      </c>
      <c r="C265" s="76" t="n">
        <v>447.71</v>
      </c>
      <c r="D265" s="76" t="n">
        <v>440.79</v>
      </c>
    </row>
    <row r="266">
      <c r="A266" s="76" t="n">
        <v>130.1</v>
      </c>
      <c r="B266" s="77" t="n">
        <v>2.1684</v>
      </c>
      <c r="C266" s="76" t="n">
        <v>447.81</v>
      </c>
      <c r="D266" s="76" t="n">
        <v>439.8</v>
      </c>
    </row>
    <row r="267">
      <c r="A267" s="76" t="n">
        <v>130.16</v>
      </c>
      <c r="B267" s="77" t="n">
        <v>2.1693</v>
      </c>
      <c r="C267" s="76" t="n">
        <v>447.91</v>
      </c>
      <c r="D267" s="76" t="n">
        <v>439.08</v>
      </c>
    </row>
    <row r="268">
      <c r="A268" s="76" t="n">
        <v>130.22</v>
      </c>
      <c r="B268" s="77" t="n">
        <v>2.1703</v>
      </c>
      <c r="C268" s="76" t="n">
        <v>448</v>
      </c>
      <c r="D268" s="76" t="n">
        <v>438.51</v>
      </c>
    </row>
    <row r="269">
      <c r="A269" s="76" t="n">
        <v>130.33</v>
      </c>
      <c r="B269" s="77" t="n">
        <v>2.1722</v>
      </c>
      <c r="C269" s="76" t="n">
        <v>448.2</v>
      </c>
      <c r="D269" s="76" t="n">
        <v>437.58</v>
      </c>
    </row>
    <row r="270">
      <c r="A270" s="76" t="n">
        <v>130.39</v>
      </c>
      <c r="B270" s="77" t="n">
        <v>2.1731</v>
      </c>
      <c r="C270" s="76" t="n">
        <v>448.29</v>
      </c>
      <c r="D270" s="76" t="n">
        <v>437.18</v>
      </c>
    </row>
    <row r="271">
      <c r="A271" s="76" t="n">
        <v>130.5</v>
      </c>
      <c r="B271" s="77" t="n">
        <v>2.175</v>
      </c>
      <c r="C271" s="76" t="n">
        <v>448.49</v>
      </c>
      <c r="D271" s="76" t="n">
        <v>436.48</v>
      </c>
    </row>
    <row r="272">
      <c r="A272" s="76" t="n">
        <v>130.55</v>
      </c>
      <c r="B272" s="77" t="n">
        <v>2.1759</v>
      </c>
      <c r="C272" s="76" t="n">
        <v>448.58</v>
      </c>
      <c r="D272" s="76" t="n">
        <v>436.17</v>
      </c>
    </row>
    <row r="273">
      <c r="A273" s="76" t="n">
        <v>130.67</v>
      </c>
      <c r="B273" s="77" t="n">
        <v>2.1778</v>
      </c>
      <c r="C273" s="76" t="n">
        <v>448.77</v>
      </c>
      <c r="D273" s="76" t="n">
        <v>435.59</v>
      </c>
    </row>
    <row r="274">
      <c r="A274" s="76" t="n">
        <v>130.72</v>
      </c>
      <c r="B274" s="77" t="n">
        <v>2.1787</v>
      </c>
      <c r="C274" s="76" t="n">
        <v>448.87</v>
      </c>
      <c r="D274" s="76" t="n">
        <v>435.32</v>
      </c>
    </row>
    <row r="275">
      <c r="A275" s="76" t="n">
        <v>130.83</v>
      </c>
      <c r="B275" s="77" t="n">
        <v>2.1806</v>
      </c>
      <c r="C275" s="76" t="n">
        <v>449.06</v>
      </c>
      <c r="D275" s="76" t="n">
        <v>434.82</v>
      </c>
    </row>
    <row r="276">
      <c r="A276" s="76" t="n">
        <v>130.89</v>
      </c>
      <c r="B276" s="77" t="n">
        <v>2.1815</v>
      </c>
      <c r="C276" s="76" t="n">
        <v>449.16</v>
      </c>
      <c r="D276" s="76" t="n">
        <v>434.59</v>
      </c>
    </row>
    <row r="277">
      <c r="A277" s="76" t="n">
        <v>131</v>
      </c>
      <c r="B277" s="77" t="n">
        <v>2.1834</v>
      </c>
      <c r="C277" s="76" t="n">
        <v>449.35</v>
      </c>
      <c r="D277" s="76" t="n">
        <v>434.14</v>
      </c>
    </row>
    <row r="278">
      <c r="A278" s="76" t="n">
        <v>131.12</v>
      </c>
      <c r="B278" s="77" t="n">
        <v>2.1853</v>
      </c>
      <c r="C278" s="76" t="n">
        <v>449.54</v>
      </c>
      <c r="D278" s="76" t="n">
        <v>433.73</v>
      </c>
    </row>
    <row r="279">
      <c r="A279" s="76" t="n">
        <v>131.37</v>
      </c>
      <c r="B279" s="77" t="n">
        <v>2.1894</v>
      </c>
      <c r="C279" s="76" t="n">
        <v>449.46</v>
      </c>
      <c r="D279" s="76" t="n">
        <v>436.53</v>
      </c>
    </row>
    <row r="280">
      <c r="A280" s="76" t="n">
        <v>131.62</v>
      </c>
      <c r="B280" s="77" t="n">
        <v>2.1936</v>
      </c>
      <c r="C280" s="76" t="n">
        <v>449.38</v>
      </c>
      <c r="D280" s="76" t="n">
        <v>437.54</v>
      </c>
    </row>
    <row r="281">
      <c r="A281" s="76" t="n">
        <v>132.12</v>
      </c>
      <c r="B281" s="77" t="n">
        <v>2.2019</v>
      </c>
      <c r="C281" s="76" t="n">
        <v>449.2</v>
      </c>
      <c r="D281" s="76" t="n">
        <v>438.41</v>
      </c>
    </row>
    <row r="282">
      <c r="A282" s="76" t="n">
        <v>132.37</v>
      </c>
      <c r="B282" s="77" t="n">
        <v>2.2061</v>
      </c>
      <c r="C282" s="76" t="n">
        <v>449.09</v>
      </c>
      <c r="D282" s="76" t="n">
        <v>438.62</v>
      </c>
    </row>
    <row r="283">
      <c r="A283" s="76" t="n">
        <v>132.87</v>
      </c>
      <c r="B283" s="77" t="n">
        <v>2.2144</v>
      </c>
      <c r="C283" s="76" t="n">
        <v>448.84</v>
      </c>
      <c r="D283" s="76" t="n">
        <v>438.84</v>
      </c>
    </row>
    <row r="284">
      <c r="A284" s="76" t="n">
        <v>133.12</v>
      </c>
      <c r="B284" s="77" t="n">
        <v>2.2186</v>
      </c>
      <c r="C284" s="76" t="n">
        <v>448.7</v>
      </c>
      <c r="D284" s="76" t="n">
        <v>438.89</v>
      </c>
    </row>
    <row r="285">
      <c r="A285" s="76" t="n">
        <v>133.62</v>
      </c>
      <c r="B285" s="77" t="n">
        <v>2.2269</v>
      </c>
      <c r="C285" s="76" t="n">
        <v>448.4</v>
      </c>
      <c r="D285" s="76" t="n">
        <v>438.92</v>
      </c>
    </row>
    <row r="286">
      <c r="A286" s="76" t="n">
        <v>133.87</v>
      </c>
      <c r="B286" s="77" t="n">
        <v>2.2311</v>
      </c>
      <c r="C286" s="76" t="n">
        <v>448.23</v>
      </c>
      <c r="D286" s="76" t="n">
        <v>438.91</v>
      </c>
    </row>
    <row r="287">
      <c r="A287" s="76" t="n">
        <v>134.37</v>
      </c>
      <c r="B287" s="77" t="n">
        <v>2.2394</v>
      </c>
      <c r="C287" s="76" t="n">
        <v>447.88</v>
      </c>
      <c r="D287" s="76" t="n">
        <v>438.85</v>
      </c>
    </row>
    <row r="288">
      <c r="A288" s="76" t="n">
        <v>134.62</v>
      </c>
      <c r="B288" s="77" t="n">
        <v>2.2436</v>
      </c>
      <c r="C288" s="76" t="n">
        <v>447.7</v>
      </c>
      <c r="D288" s="76" t="n">
        <v>438.8</v>
      </c>
    </row>
    <row r="289">
      <c r="A289" s="76" t="n">
        <v>135.12</v>
      </c>
      <c r="B289" s="77" t="n">
        <v>2.2519</v>
      </c>
      <c r="C289" s="76" t="n">
        <v>447.34</v>
      </c>
      <c r="D289" s="76" t="n">
        <v>438.69</v>
      </c>
    </row>
    <row r="290">
      <c r="A290" s="76" t="n">
        <v>135.37</v>
      </c>
      <c r="B290" s="77" t="n">
        <v>2.2561</v>
      </c>
      <c r="C290" s="76" t="n">
        <v>447.16</v>
      </c>
      <c r="D290" s="76" t="n">
        <v>438.63</v>
      </c>
    </row>
    <row r="291">
      <c r="A291" s="76" t="n">
        <v>135.87</v>
      </c>
      <c r="B291" s="77" t="n">
        <v>2.2644</v>
      </c>
      <c r="C291" s="76" t="n">
        <v>446.79</v>
      </c>
      <c r="D291" s="76" t="n">
        <v>438.48</v>
      </c>
    </row>
    <row r="292">
      <c r="A292" s="76" t="n">
        <v>136.12</v>
      </c>
      <c r="B292" s="77" t="n">
        <v>2.2686</v>
      </c>
      <c r="C292" s="76" t="n">
        <v>446.61</v>
      </c>
      <c r="D292" s="76" t="n">
        <v>438.4</v>
      </c>
    </row>
    <row r="293">
      <c r="A293" s="76" t="n">
        <v>136.23</v>
      </c>
      <c r="B293" s="77" t="n">
        <v>2.2705</v>
      </c>
      <c r="C293" s="76" t="n">
        <v>446.75</v>
      </c>
      <c r="D293" s="76" t="n">
        <v>435.63</v>
      </c>
    </row>
    <row r="294">
      <c r="A294" s="76" t="n">
        <v>136.28</v>
      </c>
      <c r="B294" s="77" t="n">
        <v>2.2714</v>
      </c>
      <c r="C294" s="76" t="n">
        <v>446.82</v>
      </c>
      <c r="D294" s="76" t="n">
        <v>434.89</v>
      </c>
    </row>
    <row r="295">
      <c r="A295" s="76" t="n">
        <v>136.34</v>
      </c>
      <c r="B295" s="77" t="n">
        <v>2.2723</v>
      </c>
      <c r="C295" s="76" t="n">
        <v>446.89</v>
      </c>
      <c r="D295" s="76" t="n">
        <v>434.3</v>
      </c>
    </row>
    <row r="296">
      <c r="A296" s="76" t="n">
        <v>136.4</v>
      </c>
      <c r="B296" s="77" t="n">
        <v>2.2733</v>
      </c>
      <c r="C296" s="76" t="n">
        <v>446.96</v>
      </c>
      <c r="D296" s="76" t="n">
        <v>433.79</v>
      </c>
    </row>
    <row r="297">
      <c r="A297" s="76" t="n">
        <v>136.51</v>
      </c>
      <c r="B297" s="77" t="n">
        <v>2.2751</v>
      </c>
      <c r="C297" s="76" t="n">
        <v>447.1</v>
      </c>
      <c r="D297" s="76" t="n">
        <v>432.94</v>
      </c>
    </row>
    <row r="298">
      <c r="A298" s="76" t="n">
        <v>136.56</v>
      </c>
      <c r="B298" s="77" t="n">
        <v>2.2761</v>
      </c>
      <c r="C298" s="76" t="n">
        <v>447.17</v>
      </c>
      <c r="D298" s="76" t="n">
        <v>432.57</v>
      </c>
    </row>
    <row r="299">
      <c r="A299" s="76" t="n">
        <v>136.68</v>
      </c>
      <c r="B299" s="77" t="n">
        <v>2.278</v>
      </c>
      <c r="C299" s="76" t="n">
        <v>447.31</v>
      </c>
      <c r="D299" s="76" t="n">
        <v>431.9</v>
      </c>
    </row>
    <row r="300">
      <c r="A300" s="76" t="n">
        <v>136.73</v>
      </c>
      <c r="B300" s="77" t="n">
        <v>2.2789</v>
      </c>
      <c r="C300" s="76" t="n">
        <v>447.38</v>
      </c>
      <c r="D300" s="76" t="n">
        <v>431.6</v>
      </c>
    </row>
    <row r="301">
      <c r="A301" s="76" t="n">
        <v>136.85</v>
      </c>
      <c r="B301" s="77" t="n">
        <v>2.2808</v>
      </c>
      <c r="C301" s="76" t="n">
        <v>447.52</v>
      </c>
      <c r="D301" s="76" t="n">
        <v>431.04</v>
      </c>
    </row>
    <row r="302">
      <c r="A302" s="76" t="n">
        <v>136.9</v>
      </c>
      <c r="B302" s="77" t="n">
        <v>2.2817</v>
      </c>
      <c r="C302" s="76" t="n">
        <v>447.59</v>
      </c>
      <c r="D302" s="76" t="n">
        <v>430.78</v>
      </c>
    </row>
    <row r="303">
      <c r="A303" s="76" t="n">
        <v>137.01</v>
      </c>
      <c r="B303" s="77" t="n">
        <v>2.2836</v>
      </c>
      <c r="C303" s="76" t="n">
        <v>447.74</v>
      </c>
      <c r="D303" s="76" t="n">
        <v>430.29</v>
      </c>
    </row>
    <row r="304">
      <c r="A304" s="76" t="n">
        <v>137.07</v>
      </c>
      <c r="B304" s="77" t="n">
        <v>2.2845</v>
      </c>
      <c r="C304" s="76" t="n">
        <v>447.81</v>
      </c>
      <c r="D304" s="76" t="n">
        <v>430.06</v>
      </c>
    </row>
    <row r="305">
      <c r="A305" s="76" t="n">
        <v>137.18</v>
      </c>
      <c r="B305" s="77" t="n">
        <v>2.2864</v>
      </c>
      <c r="C305" s="76" t="n">
        <v>447.95</v>
      </c>
      <c r="D305" s="76" t="n">
        <v>429.62</v>
      </c>
    </row>
    <row r="306">
      <c r="A306" s="76" t="n">
        <v>137.24</v>
      </c>
      <c r="B306" s="77" t="n">
        <v>2.2873</v>
      </c>
      <c r="C306" s="76" t="n">
        <v>448.02</v>
      </c>
      <c r="D306" s="76" t="n">
        <v>429.41</v>
      </c>
    </row>
    <row r="307">
      <c r="A307" s="76" t="n">
        <v>137.74</v>
      </c>
      <c r="B307" s="77" t="n">
        <v>2.2956</v>
      </c>
      <c r="C307" s="76" t="n">
        <v>447.66</v>
      </c>
      <c r="D307" s="76" t="n">
        <v>433.48</v>
      </c>
    </row>
    <row r="308">
      <c r="A308" s="76" t="n">
        <v>137.99</v>
      </c>
      <c r="B308" s="77" t="n">
        <v>2.2998</v>
      </c>
      <c r="C308" s="76" t="n">
        <v>447.48</v>
      </c>
      <c r="D308" s="76" t="n">
        <v>434.08</v>
      </c>
    </row>
    <row r="309">
      <c r="A309" s="76" t="n">
        <v>138.49</v>
      </c>
      <c r="B309" s="77" t="n">
        <v>2.3081</v>
      </c>
      <c r="C309" s="76" t="n">
        <v>447.1</v>
      </c>
      <c r="D309" s="76" t="n">
        <v>434.7</v>
      </c>
    </row>
    <row r="310">
      <c r="A310" s="76" t="n">
        <v>138.74</v>
      </c>
      <c r="B310" s="77" t="n">
        <v>2.3123</v>
      </c>
      <c r="C310" s="76" t="n">
        <v>446.9</v>
      </c>
      <c r="D310" s="76" t="n">
        <v>434.88</v>
      </c>
    </row>
    <row r="311">
      <c r="A311" s="76" t="n">
        <v>139.24</v>
      </c>
      <c r="B311" s="77" t="n">
        <v>2.3206</v>
      </c>
      <c r="C311" s="76" t="n">
        <v>446.47</v>
      </c>
      <c r="D311" s="76" t="n">
        <v>435.07</v>
      </c>
    </row>
    <row r="312">
      <c r="A312" s="76" t="n">
        <v>139.49</v>
      </c>
      <c r="B312" s="77" t="n">
        <v>2.3248</v>
      </c>
      <c r="C312" s="76" t="n">
        <v>446.25</v>
      </c>
      <c r="D312" s="76" t="n">
        <v>435.12</v>
      </c>
    </row>
    <row r="313">
      <c r="A313" s="76" t="n">
        <v>139.99</v>
      </c>
      <c r="B313" s="77" t="n">
        <v>2.3331</v>
      </c>
      <c r="C313" s="76" t="n">
        <v>445.78</v>
      </c>
      <c r="D313" s="76" t="n">
        <v>435.16</v>
      </c>
    </row>
    <row r="314">
      <c r="A314" s="76" t="n">
        <v>140.24</v>
      </c>
      <c r="B314" s="77" t="n">
        <v>2.3373</v>
      </c>
      <c r="C314" s="76" t="n">
        <v>445.55</v>
      </c>
      <c r="D314" s="76" t="n">
        <v>435.15</v>
      </c>
    </row>
    <row r="315">
      <c r="A315" s="76" t="n">
        <v>140.74</v>
      </c>
      <c r="B315" s="77" t="n">
        <v>2.3456</v>
      </c>
      <c r="C315" s="76" t="n">
        <v>445.07</v>
      </c>
      <c r="D315" s="76" t="n">
        <v>435.1</v>
      </c>
    </row>
    <row r="316">
      <c r="A316" s="76" t="n">
        <v>140.99</v>
      </c>
      <c r="B316" s="77" t="n">
        <v>2.3498</v>
      </c>
      <c r="C316" s="76" t="n">
        <v>444.84</v>
      </c>
      <c r="D316" s="76" t="n">
        <v>435.06</v>
      </c>
    </row>
    <row r="317">
      <c r="A317" s="76" t="n">
        <v>141.49</v>
      </c>
      <c r="B317" s="77" t="n">
        <v>2.3581</v>
      </c>
      <c r="C317" s="76" t="n">
        <v>444.37</v>
      </c>
      <c r="D317" s="76" t="n">
        <v>434.95</v>
      </c>
    </row>
    <row r="318">
      <c r="A318" s="76" t="n">
        <v>141.74</v>
      </c>
      <c r="B318" s="77" t="n">
        <v>2.3623</v>
      </c>
      <c r="C318" s="76" t="n">
        <v>444.14</v>
      </c>
      <c r="D318" s="76" t="n">
        <v>434.89</v>
      </c>
    </row>
    <row r="319">
      <c r="A319" s="76" t="n">
        <v>142.24</v>
      </c>
      <c r="B319" s="77" t="n">
        <v>2.3706</v>
      </c>
      <c r="C319" s="76" t="n">
        <v>443.69</v>
      </c>
      <c r="D319" s="76" t="n">
        <v>434.76</v>
      </c>
    </row>
    <row r="320">
      <c r="A320" s="76" t="n">
        <v>142.29</v>
      </c>
      <c r="B320" s="77" t="n">
        <v>2.3716</v>
      </c>
      <c r="C320" s="76" t="n">
        <v>443.75</v>
      </c>
      <c r="D320" s="76" t="n">
        <v>432.92</v>
      </c>
    </row>
    <row r="321">
      <c r="A321" s="76" t="n">
        <v>142.41</v>
      </c>
      <c r="B321" s="77" t="n">
        <v>2.3735</v>
      </c>
      <c r="C321" s="76" t="n">
        <v>443.88</v>
      </c>
      <c r="D321" s="76" t="n">
        <v>431.05</v>
      </c>
    </row>
    <row r="322">
      <c r="A322" s="76" t="n">
        <v>142.46</v>
      </c>
      <c r="B322" s="77" t="n">
        <v>2.3744</v>
      </c>
      <c r="C322" s="76" t="n">
        <v>443.94</v>
      </c>
      <c r="D322" s="76" t="n">
        <v>430.43</v>
      </c>
    </row>
    <row r="323">
      <c r="A323" s="76" t="n">
        <v>142.58</v>
      </c>
      <c r="B323" s="77" t="n">
        <v>2.3763</v>
      </c>
      <c r="C323" s="76" t="n">
        <v>444.06</v>
      </c>
      <c r="D323" s="76" t="n">
        <v>429.42</v>
      </c>
    </row>
    <row r="324">
      <c r="A324" s="76" t="n">
        <v>142.63</v>
      </c>
      <c r="B324" s="77" t="n">
        <v>2.3772</v>
      </c>
      <c r="C324" s="76" t="n">
        <v>444.13</v>
      </c>
      <c r="D324" s="76" t="n">
        <v>428.99</v>
      </c>
    </row>
    <row r="325">
      <c r="A325" s="76" t="n">
        <v>142.69</v>
      </c>
      <c r="B325" s="77" t="n">
        <v>2.3781</v>
      </c>
      <c r="C325" s="76" t="n">
        <v>444.19</v>
      </c>
      <c r="D325" s="76" t="n">
        <v>428.6</v>
      </c>
    </row>
    <row r="326">
      <c r="A326" s="76" t="n">
        <v>142.74</v>
      </c>
      <c r="B326" s="77" t="n">
        <v>2.3791</v>
      </c>
      <c r="C326" s="76" t="n">
        <v>444.25</v>
      </c>
      <c r="D326" s="76" t="n">
        <v>428.23</v>
      </c>
    </row>
    <row r="327">
      <c r="A327" s="76" t="n">
        <v>142.86</v>
      </c>
      <c r="B327" s="77" t="n">
        <v>2.3809</v>
      </c>
      <c r="C327" s="76" t="n">
        <v>444.38</v>
      </c>
      <c r="D327" s="76" t="n">
        <v>427.57</v>
      </c>
    </row>
    <row r="328">
      <c r="A328" s="76" t="n">
        <v>142.91</v>
      </c>
      <c r="B328" s="77" t="n">
        <v>2.3819</v>
      </c>
      <c r="C328" s="76" t="n">
        <v>444.45</v>
      </c>
      <c r="D328" s="76" t="n">
        <v>427.26</v>
      </c>
    </row>
    <row r="329">
      <c r="A329" s="76" t="n">
        <v>143.02</v>
      </c>
      <c r="B329" s="77" t="n">
        <v>2.3837</v>
      </c>
      <c r="C329" s="76" t="n">
        <v>444.57</v>
      </c>
      <c r="D329" s="76" t="n">
        <v>426.7</v>
      </c>
    </row>
    <row r="330">
      <c r="A330" s="76" t="n">
        <v>143.08</v>
      </c>
      <c r="B330" s="77" t="n">
        <v>2.3847</v>
      </c>
      <c r="C330" s="76" t="n">
        <v>444.64</v>
      </c>
      <c r="D330" s="76" t="n">
        <v>426.43</v>
      </c>
    </row>
    <row r="331">
      <c r="A331" s="76" t="n">
        <v>143.19</v>
      </c>
      <c r="B331" s="77" t="n">
        <v>2.3866</v>
      </c>
      <c r="C331" s="76" t="n">
        <v>444.77</v>
      </c>
      <c r="D331" s="76" t="n">
        <v>425.93</v>
      </c>
    </row>
    <row r="332">
      <c r="A332" s="76" t="n">
        <v>143.25</v>
      </c>
      <c r="B332" s="77" t="n">
        <v>2.3875</v>
      </c>
      <c r="C332" s="76" t="n">
        <v>444.84</v>
      </c>
      <c r="D332" s="76" t="n">
        <v>425.69</v>
      </c>
    </row>
    <row r="333">
      <c r="A333" s="76" t="n">
        <v>143.36</v>
      </c>
      <c r="B333" s="77" t="n">
        <v>2.3894</v>
      </c>
      <c r="C333" s="76" t="n">
        <v>444.97</v>
      </c>
      <c r="D333" s="76" t="n">
        <v>425.24</v>
      </c>
    </row>
    <row r="334">
      <c r="A334" s="76" t="n">
        <v>143.61</v>
      </c>
      <c r="B334" s="77" t="n">
        <v>2.3935</v>
      </c>
      <c r="C334" s="76" t="n">
        <v>444.76</v>
      </c>
      <c r="D334" s="76" t="n">
        <v>428.37</v>
      </c>
    </row>
    <row r="335">
      <c r="A335" s="76" t="n">
        <v>144.11</v>
      </c>
      <c r="B335" s="77" t="n">
        <v>2.4019</v>
      </c>
      <c r="C335" s="76" t="n">
        <v>444.33</v>
      </c>
      <c r="D335" s="76" t="n">
        <v>430.16</v>
      </c>
    </row>
    <row r="336">
      <c r="A336" s="76" t="n">
        <v>144.36</v>
      </c>
      <c r="B336" s="77" t="n">
        <v>2.406</v>
      </c>
      <c r="C336" s="76" t="n">
        <v>444.11</v>
      </c>
      <c r="D336" s="76" t="n">
        <v>430.56</v>
      </c>
    </row>
    <row r="337">
      <c r="A337" s="76" t="n">
        <v>144.86</v>
      </c>
      <c r="B337" s="77" t="n">
        <v>2.4144</v>
      </c>
      <c r="C337" s="76" t="n">
        <v>443.65</v>
      </c>
      <c r="D337" s="76" t="n">
        <v>431.02</v>
      </c>
    </row>
    <row r="338">
      <c r="A338" s="76" t="n">
        <v>145.11</v>
      </c>
      <c r="B338" s="77" t="n">
        <v>2.4185</v>
      </c>
      <c r="C338" s="76" t="n">
        <v>443.41</v>
      </c>
      <c r="D338" s="76" t="n">
        <v>431.14</v>
      </c>
    </row>
    <row r="339">
      <c r="A339" s="76" t="n">
        <v>145.61</v>
      </c>
      <c r="B339" s="77" t="n">
        <v>2.4269</v>
      </c>
      <c r="C339" s="76" t="n">
        <v>442.9</v>
      </c>
      <c r="D339" s="76" t="n">
        <v>431.29</v>
      </c>
    </row>
    <row r="340">
      <c r="A340" s="76" t="n">
        <v>145.86</v>
      </c>
      <c r="B340" s="77" t="n">
        <v>2.431</v>
      </c>
      <c r="C340" s="76" t="n">
        <v>442.64</v>
      </c>
      <c r="D340" s="76" t="n">
        <v>431.32</v>
      </c>
    </row>
    <row r="341">
      <c r="A341" s="76" t="n">
        <v>146.11</v>
      </c>
      <c r="B341" s="77" t="n">
        <v>2.4352</v>
      </c>
      <c r="C341" s="76" t="n">
        <v>442.38</v>
      </c>
      <c r="D341" s="76" t="n">
        <v>431.33</v>
      </c>
    </row>
    <row r="342">
      <c r="A342" s="76" t="n">
        <v>146.61</v>
      </c>
      <c r="B342" s="77" t="n">
        <v>2.4435</v>
      </c>
      <c r="C342" s="76" t="n">
        <v>441.85</v>
      </c>
      <c r="D342" s="76" t="n">
        <v>431.3</v>
      </c>
    </row>
    <row r="343">
      <c r="A343" s="76" t="n">
        <v>147.11</v>
      </c>
      <c r="B343" s="77" t="n">
        <v>2.4519</v>
      </c>
      <c r="C343" s="76" t="n">
        <v>441.32</v>
      </c>
      <c r="D343" s="76" t="n">
        <v>431.23</v>
      </c>
    </row>
    <row r="344">
      <c r="A344" s="76" t="n">
        <v>147.36</v>
      </c>
      <c r="B344" s="77" t="n">
        <v>2.456</v>
      </c>
      <c r="C344" s="76" t="n">
        <v>441.06</v>
      </c>
      <c r="D344" s="76" t="n">
        <v>431.18</v>
      </c>
    </row>
    <row r="345">
      <c r="A345" s="76" t="n">
        <v>147.86</v>
      </c>
      <c r="B345" s="77" t="n">
        <v>2.4644</v>
      </c>
      <c r="C345" s="76" t="n">
        <v>440.56</v>
      </c>
      <c r="D345" s="76" t="n">
        <v>431.06</v>
      </c>
    </row>
    <row r="346">
      <c r="A346" s="76" t="n">
        <v>148.11</v>
      </c>
      <c r="B346" s="77" t="n">
        <v>2.4685</v>
      </c>
      <c r="C346" s="76" t="n">
        <v>440.31</v>
      </c>
      <c r="D346" s="76" t="n">
        <v>430.99</v>
      </c>
    </row>
    <row r="347">
      <c r="A347" s="76" t="n">
        <v>148.42</v>
      </c>
      <c r="B347" s="77" t="n">
        <v>2.4736</v>
      </c>
      <c r="C347" s="76" t="n">
        <v>440.13</v>
      </c>
      <c r="D347" s="76" t="n">
        <v>428.95</v>
      </c>
    </row>
    <row r="348">
      <c r="A348" s="76" t="n">
        <v>148.47</v>
      </c>
      <c r="B348" s="77" t="n">
        <v>2.4746</v>
      </c>
      <c r="C348" s="76" t="n">
        <v>440.19</v>
      </c>
      <c r="D348" s="76" t="n">
        <v>427.81</v>
      </c>
    </row>
    <row r="349">
      <c r="A349" s="76" t="n">
        <v>148.59</v>
      </c>
      <c r="B349" s="77" t="n">
        <v>2.4764</v>
      </c>
      <c r="C349" s="76" t="n">
        <v>440.3</v>
      </c>
      <c r="D349" s="76" t="n">
        <v>426.32</v>
      </c>
    </row>
    <row r="350">
      <c r="A350" s="76" t="n">
        <v>148.64</v>
      </c>
      <c r="B350" s="77" t="n">
        <v>2.4774</v>
      </c>
      <c r="C350" s="76" t="n">
        <v>440.36</v>
      </c>
      <c r="D350" s="76" t="n">
        <v>425.75</v>
      </c>
    </row>
    <row r="351">
      <c r="A351" s="76" t="n">
        <v>148.75</v>
      </c>
      <c r="B351" s="77" t="n">
        <v>2.4792</v>
      </c>
      <c r="C351" s="76" t="n">
        <v>440.48</v>
      </c>
      <c r="D351" s="76" t="n">
        <v>424.79</v>
      </c>
    </row>
    <row r="352">
      <c r="A352" s="76" t="n">
        <v>148.81</v>
      </c>
      <c r="B352" s="77" t="n">
        <v>2.4802</v>
      </c>
      <c r="C352" s="76" t="n">
        <v>440.55</v>
      </c>
      <c r="D352" s="76" t="n">
        <v>424.36</v>
      </c>
    </row>
    <row r="353">
      <c r="A353" s="76" t="n">
        <v>148.92</v>
      </c>
      <c r="B353" s="77" t="n">
        <v>2.4821</v>
      </c>
      <c r="C353" s="76" t="n">
        <v>440.67</v>
      </c>
      <c r="D353" s="76" t="n">
        <v>423.61</v>
      </c>
    </row>
    <row r="354">
      <c r="A354" s="76" t="n">
        <v>148.98</v>
      </c>
      <c r="B354" s="77" t="n">
        <v>2.483</v>
      </c>
      <c r="C354" s="76" t="n">
        <v>440.73</v>
      </c>
      <c r="D354" s="76" t="n">
        <v>423.26</v>
      </c>
    </row>
    <row r="355">
      <c r="A355" s="76" t="n">
        <v>149.04</v>
      </c>
      <c r="B355" s="77" t="n">
        <v>2.4839</v>
      </c>
      <c r="C355" s="76" t="n">
        <v>440.79</v>
      </c>
      <c r="D355" s="76" t="n">
        <v>422.94</v>
      </c>
    </row>
    <row r="356">
      <c r="A356" s="76" t="n">
        <v>149.09</v>
      </c>
      <c r="B356" s="77" t="n">
        <v>2.4849</v>
      </c>
      <c r="C356" s="76" t="n">
        <v>440.85</v>
      </c>
      <c r="D356" s="76" t="n">
        <v>422.62</v>
      </c>
    </row>
    <row r="357">
      <c r="A357" s="76" t="n">
        <v>149.2</v>
      </c>
      <c r="B357" s="77" t="n">
        <v>2.4867</v>
      </c>
      <c r="C357" s="76" t="n">
        <v>440.98</v>
      </c>
      <c r="D357" s="76" t="n">
        <v>422.04</v>
      </c>
    </row>
    <row r="358">
      <c r="A358" s="76" t="n">
        <v>149.26</v>
      </c>
      <c r="B358" s="77" t="n">
        <v>2.4877</v>
      </c>
      <c r="C358" s="76" t="n">
        <v>441.04</v>
      </c>
      <c r="D358" s="76" t="n">
        <v>421.77</v>
      </c>
    </row>
    <row r="359">
      <c r="A359" s="76" t="n">
        <v>149.37</v>
      </c>
      <c r="B359" s="77" t="n">
        <v>2.4895</v>
      </c>
      <c r="C359" s="76" t="n">
        <v>441.17</v>
      </c>
      <c r="D359" s="76" t="n">
        <v>421.25</v>
      </c>
    </row>
    <row r="360">
      <c r="A360" s="76" t="n">
        <v>149.48</v>
      </c>
      <c r="B360" s="77" t="n">
        <v>2.4914</v>
      </c>
      <c r="C360" s="76" t="n">
        <v>441.29</v>
      </c>
      <c r="D360" s="76" t="n">
        <v>420.76</v>
      </c>
    </row>
    <row r="361">
      <c r="A361" s="76" t="n">
        <v>149.98</v>
      </c>
      <c r="B361" s="77" t="n">
        <v>2.4997</v>
      </c>
      <c r="C361" s="76" t="n">
        <v>440.83</v>
      </c>
      <c r="D361" s="76" t="n">
        <v>426.17</v>
      </c>
    </row>
    <row r="362">
      <c r="A362" s="76" t="n">
        <v>150.48</v>
      </c>
      <c r="B362" s="77" t="n">
        <v>2.5081</v>
      </c>
      <c r="C362" s="76" t="n">
        <v>440.35</v>
      </c>
      <c r="D362" s="76" t="n">
        <v>428.06</v>
      </c>
    </row>
    <row r="363">
      <c r="A363" s="76" t="n">
        <v>151.48</v>
      </c>
      <c r="B363" s="77" t="n">
        <v>2.5247</v>
      </c>
      <c r="C363" s="76" t="n">
        <v>439.32</v>
      </c>
      <c r="D363" s="76" t="n">
        <v>429.84</v>
      </c>
    </row>
    <row r="364">
      <c r="A364" s="76" t="n">
        <v>151.98</v>
      </c>
      <c r="B364" s="77" t="n">
        <v>2.5331</v>
      </c>
      <c r="C364" s="76" t="n">
        <v>438.79</v>
      </c>
      <c r="D364" s="76" t="n">
        <v>430.35</v>
      </c>
    </row>
    <row r="365">
      <c r="A365" s="76" t="n">
        <v>152.98</v>
      </c>
      <c r="B365" s="77" t="n">
        <v>2.5497</v>
      </c>
      <c r="C365" s="76" t="n">
        <v>437.76</v>
      </c>
      <c r="D365" s="76" t="n">
        <v>431.04</v>
      </c>
    </row>
    <row r="366">
      <c r="A366" s="76" t="n">
        <v>153.48</v>
      </c>
      <c r="B366" s="77" t="n">
        <v>2.5581</v>
      </c>
      <c r="C366" s="76" t="n">
        <v>437.29</v>
      </c>
      <c r="D366" s="76" t="n">
        <v>431.28</v>
      </c>
    </row>
    <row r="367">
      <c r="A367" s="76" t="n">
        <v>154.48</v>
      </c>
      <c r="B367" s="77" t="n">
        <v>2.5747</v>
      </c>
      <c r="C367" s="76" t="n">
        <v>436.44</v>
      </c>
      <c r="D367" s="76" t="n">
        <v>431.63</v>
      </c>
    </row>
    <row r="368">
      <c r="A368" s="76" t="n">
        <v>154.98</v>
      </c>
      <c r="B368" s="77" t="n">
        <v>2.5831</v>
      </c>
      <c r="C368" s="76" t="n">
        <v>436.07</v>
      </c>
      <c r="D368" s="76" t="n">
        <v>431.75</v>
      </c>
    </row>
    <row r="369">
      <c r="A369" s="76" t="n">
        <v>155.98</v>
      </c>
      <c r="B369" s="77" t="n">
        <v>2.5997</v>
      </c>
      <c r="C369" s="76" t="n">
        <v>435.44</v>
      </c>
      <c r="D369" s="76" t="n">
        <v>431.94</v>
      </c>
    </row>
    <row r="370">
      <c r="A370" s="76" t="n">
        <v>156.48</v>
      </c>
      <c r="B370" s="77" t="n">
        <v>2.608</v>
      </c>
      <c r="C370" s="76" t="n">
        <v>435.17</v>
      </c>
      <c r="D370" s="76" t="n">
        <v>432</v>
      </c>
    </row>
    <row r="371">
      <c r="A371" s="76" t="n">
        <v>157.48</v>
      </c>
      <c r="B371" s="77" t="n">
        <v>2.6247</v>
      </c>
      <c r="C371" s="76" t="n">
        <v>434.71</v>
      </c>
      <c r="D371" s="76" t="n">
        <v>432.09</v>
      </c>
    </row>
    <row r="372">
      <c r="A372" s="76" t="n">
        <v>157.98</v>
      </c>
      <c r="B372" s="77" t="n">
        <v>2.633</v>
      </c>
      <c r="C372" s="76" t="n">
        <v>434.52</v>
      </c>
      <c r="D372" s="76" t="n">
        <v>432.12</v>
      </c>
    </row>
    <row r="373">
      <c r="A373" s="76" t="n">
        <v>158.98</v>
      </c>
      <c r="B373" s="77" t="n">
        <v>2.6497</v>
      </c>
      <c r="C373" s="76" t="n">
        <v>434.18</v>
      </c>
      <c r="D373" s="76" t="n">
        <v>432.15</v>
      </c>
    </row>
    <row r="374">
      <c r="A374" s="76" t="n">
        <v>159.48</v>
      </c>
      <c r="B374" s="77" t="n">
        <v>2.658</v>
      </c>
      <c r="C374" s="76" t="n">
        <v>434.04</v>
      </c>
      <c r="D374" s="76" t="n">
        <v>432.15</v>
      </c>
    </row>
    <row r="375">
      <c r="A375" s="76" t="n">
        <v>160.48</v>
      </c>
      <c r="B375" s="77" t="n">
        <v>2.6747</v>
      </c>
      <c r="C375" s="76" t="n">
        <v>433.8</v>
      </c>
      <c r="D375" s="76" t="n">
        <v>432.15</v>
      </c>
    </row>
    <row r="376">
      <c r="A376" s="76" t="n">
        <v>160.98</v>
      </c>
      <c r="B376" s="77" t="n">
        <v>2.683</v>
      </c>
      <c r="C376" s="76" t="n">
        <v>433.69</v>
      </c>
      <c r="D376" s="76" t="n">
        <v>432.14</v>
      </c>
    </row>
    <row r="377">
      <c r="A377" s="76" t="n">
        <v>161.98</v>
      </c>
      <c r="B377" s="77" t="n">
        <v>2.6997</v>
      </c>
      <c r="C377" s="76" t="n">
        <v>433.5</v>
      </c>
      <c r="D377" s="76" t="n">
        <v>432.11</v>
      </c>
    </row>
    <row r="378">
      <c r="A378" s="76" t="n">
        <v>162.48</v>
      </c>
      <c r="B378" s="77" t="n">
        <v>2.708</v>
      </c>
      <c r="C378" s="76" t="n">
        <v>433.42</v>
      </c>
      <c r="D378" s="76" t="n">
        <v>432.09</v>
      </c>
    </row>
    <row r="379">
      <c r="A379" s="76" t="n">
        <v>163.48</v>
      </c>
      <c r="B379" s="77" t="n">
        <v>2.7247</v>
      </c>
      <c r="C379" s="76" t="n">
        <v>433.27</v>
      </c>
      <c r="D379" s="76" t="n">
        <v>432.04</v>
      </c>
    </row>
    <row r="380">
      <c r="A380" s="76" t="n">
        <v>163.98</v>
      </c>
      <c r="B380" s="77" t="n">
        <v>2.733</v>
      </c>
      <c r="C380" s="76" t="n">
        <v>433.21</v>
      </c>
      <c r="D380" s="76" t="n">
        <v>432.02</v>
      </c>
    </row>
    <row r="381">
      <c r="A381" s="76" t="n">
        <v>164.98</v>
      </c>
      <c r="B381" s="77" t="n">
        <v>2.7497</v>
      </c>
      <c r="C381" s="76" t="n">
        <v>433.08</v>
      </c>
      <c r="D381" s="76" t="n">
        <v>431.96</v>
      </c>
    </row>
    <row r="382">
      <c r="A382" s="76" t="n">
        <v>165.48</v>
      </c>
      <c r="B382" s="77" t="n">
        <v>2.758</v>
      </c>
      <c r="C382" s="76" t="n">
        <v>433.03</v>
      </c>
      <c r="D382" s="76" t="n">
        <v>431.93</v>
      </c>
    </row>
    <row r="383">
      <c r="A383" s="76" t="n">
        <v>165.98</v>
      </c>
      <c r="B383" s="77" t="n">
        <v>2.7663</v>
      </c>
      <c r="C383" s="76" t="n">
        <v>432.97</v>
      </c>
      <c r="D383" s="76" t="n">
        <v>431.9</v>
      </c>
    </row>
    <row r="384">
      <c r="A384" s="76" t="n">
        <v>166.48</v>
      </c>
      <c r="B384" s="77" t="n">
        <v>2.7747</v>
      </c>
      <c r="C384" s="76" t="n">
        <v>432.92</v>
      </c>
      <c r="D384" s="76" t="n">
        <v>431.87</v>
      </c>
    </row>
    <row r="385">
      <c r="A385" s="76" t="n">
        <v>167.48</v>
      </c>
      <c r="B385" s="77" t="n">
        <v>2.7913</v>
      </c>
      <c r="C385" s="76" t="n">
        <v>432.82</v>
      </c>
      <c r="D385" s="76" t="n">
        <v>431.8</v>
      </c>
    </row>
    <row r="386">
      <c r="A386" s="76" t="n">
        <v>167.98</v>
      </c>
      <c r="B386" s="77" t="n">
        <v>2.7997</v>
      </c>
      <c r="C386" s="76" t="n">
        <v>432.77</v>
      </c>
      <c r="D386" s="76" t="n">
        <v>431.77</v>
      </c>
    </row>
    <row r="387">
      <c r="A387" s="76" t="n">
        <v>168.98</v>
      </c>
      <c r="B387" s="77" t="n">
        <v>2.8163</v>
      </c>
      <c r="C387" s="76" t="n">
        <v>432.68</v>
      </c>
      <c r="D387" s="76" t="n">
        <v>431.7</v>
      </c>
    </row>
    <row r="388">
      <c r="A388" s="76" t="n">
        <v>169.48</v>
      </c>
      <c r="B388" s="77" t="n">
        <v>2.8246</v>
      </c>
      <c r="C388" s="76" t="n">
        <v>432.64</v>
      </c>
      <c r="D388" s="76" t="n">
        <v>431.67</v>
      </c>
    </row>
    <row r="389">
      <c r="A389" s="76" t="n">
        <v>170.48</v>
      </c>
      <c r="B389" s="77" t="n">
        <v>2.8413</v>
      </c>
      <c r="C389" s="76" t="n">
        <v>432.55</v>
      </c>
      <c r="D389" s="76" t="n">
        <v>431.6</v>
      </c>
    </row>
    <row r="390">
      <c r="A390" s="76" t="n">
        <v>170.98</v>
      </c>
      <c r="B390" s="77" t="n">
        <v>2.8496</v>
      </c>
      <c r="C390" s="76" t="n">
        <v>432.51</v>
      </c>
      <c r="D390" s="76" t="n">
        <v>431.56</v>
      </c>
    </row>
    <row r="391">
      <c r="A391" s="76" t="n">
        <v>171.98</v>
      </c>
      <c r="B391" s="77" t="n">
        <v>2.8663</v>
      </c>
      <c r="C391" s="76" t="n">
        <v>432.43</v>
      </c>
      <c r="D391" s="76" t="n">
        <v>431.49</v>
      </c>
    </row>
    <row r="392">
      <c r="A392" s="76" t="n">
        <v>172.48</v>
      </c>
      <c r="B392" s="77" t="n">
        <v>2.8746</v>
      </c>
      <c r="C392" s="76" t="n">
        <v>432.39</v>
      </c>
      <c r="D392" s="76" t="n">
        <v>431.45</v>
      </c>
    </row>
    <row r="393">
      <c r="A393" s="76" t="n">
        <v>173.48</v>
      </c>
      <c r="B393" s="77" t="n">
        <v>2.8913</v>
      </c>
      <c r="C393" s="76" t="n">
        <v>432.31</v>
      </c>
      <c r="D393" s="76" t="n">
        <v>431.38</v>
      </c>
    </row>
    <row r="394">
      <c r="A394" s="76" t="n">
        <v>173.98</v>
      </c>
      <c r="B394" s="77" t="n">
        <v>2.8996</v>
      </c>
      <c r="C394" s="76" t="n">
        <v>432.27</v>
      </c>
      <c r="D394" s="76" t="n">
        <v>431.34</v>
      </c>
    </row>
    <row r="395">
      <c r="A395" s="76" t="n">
        <v>174.98</v>
      </c>
      <c r="B395" s="77" t="n">
        <v>2.9163</v>
      </c>
      <c r="C395" s="76" t="n">
        <v>432.19</v>
      </c>
      <c r="D395" s="76" t="n">
        <v>431.27</v>
      </c>
    </row>
    <row r="396">
      <c r="A396" s="76" t="n">
        <v>175.48</v>
      </c>
      <c r="B396" s="77" t="n">
        <v>2.9246</v>
      </c>
      <c r="C396" s="76" t="n">
        <v>432.15</v>
      </c>
      <c r="D396" s="76" t="n">
        <v>431.23</v>
      </c>
    </row>
    <row r="397">
      <c r="A397" s="76" t="n">
        <v>176.48</v>
      </c>
      <c r="B397" s="77" t="n">
        <v>2.9413</v>
      </c>
      <c r="C397" s="76" t="n">
        <v>432.08</v>
      </c>
      <c r="D397" s="76" t="n">
        <v>431.16</v>
      </c>
    </row>
    <row r="398">
      <c r="A398" s="76" t="n">
        <v>176.98</v>
      </c>
      <c r="B398" s="77" t="n">
        <v>2.9496</v>
      </c>
      <c r="C398" s="76" t="n">
        <v>432.04</v>
      </c>
      <c r="D398" s="76" t="n">
        <v>431.12</v>
      </c>
    </row>
    <row r="399">
      <c r="A399" s="76" t="n">
        <v>177.98</v>
      </c>
      <c r="B399" s="77" t="n">
        <v>2.9663</v>
      </c>
      <c r="C399" s="76" t="n">
        <v>431.96</v>
      </c>
      <c r="D399" s="76" t="n">
        <v>431.05</v>
      </c>
    </row>
    <row r="400">
      <c r="A400" s="76" t="n">
        <v>178.48</v>
      </c>
      <c r="B400" s="77" t="n">
        <v>2.9746</v>
      </c>
      <c r="C400" s="76" t="n">
        <v>431.92</v>
      </c>
      <c r="D400" s="76" t="n">
        <v>431.01</v>
      </c>
    </row>
    <row r="401">
      <c r="A401" s="76" t="n">
        <v>179.48</v>
      </c>
      <c r="B401" s="77" t="n">
        <v>2.9913</v>
      </c>
      <c r="C401" s="76" t="n">
        <v>431.85</v>
      </c>
      <c r="D401" s="76" t="n">
        <v>430.93</v>
      </c>
    </row>
    <row r="402">
      <c r="A402" s="76" t="n">
        <v>179.98</v>
      </c>
      <c r="B402" s="77" t="n">
        <v>2.9996</v>
      </c>
      <c r="C402" s="76" t="n">
        <v>431.81</v>
      </c>
      <c r="D402" s="76" t="n">
        <v>430.9</v>
      </c>
    </row>
    <row r="403">
      <c r="A403" s="76" t="n">
        <v>180.97</v>
      </c>
      <c r="B403" s="77" t="n">
        <v>3.0162</v>
      </c>
      <c r="C403" s="76" t="n">
        <v>431.73</v>
      </c>
      <c r="D403" s="76" t="n">
        <v>430.82</v>
      </c>
    </row>
    <row r="404">
      <c r="A404" s="76" t="n">
        <v>181.47</v>
      </c>
      <c r="B404" s="77" t="n">
        <v>3.0246</v>
      </c>
      <c r="C404" s="76" t="n">
        <v>431.7</v>
      </c>
      <c r="D404" s="76" t="n">
        <v>430.78</v>
      </c>
    </row>
    <row r="405">
      <c r="A405" s="76" t="n">
        <v>182.47</v>
      </c>
      <c r="B405" s="77" t="n">
        <v>3.0412</v>
      </c>
      <c r="C405" s="76" t="n">
        <v>431.62</v>
      </c>
      <c r="D405" s="76" t="n">
        <v>430.71</v>
      </c>
    </row>
    <row r="406">
      <c r="A406" s="76" t="n">
        <v>182.97</v>
      </c>
      <c r="B406" s="77" t="n">
        <v>3.0496</v>
      </c>
      <c r="C406" s="76" t="n">
        <v>431.58</v>
      </c>
      <c r="D406" s="76" t="n">
        <v>430.67</v>
      </c>
    </row>
    <row r="407">
      <c r="A407" s="76" t="n">
        <v>183.97</v>
      </c>
      <c r="B407" s="77" t="n">
        <v>3.0662</v>
      </c>
      <c r="C407" s="76" t="n">
        <v>431.51</v>
      </c>
      <c r="D407" s="76" t="n">
        <v>430.6</v>
      </c>
    </row>
    <row r="408">
      <c r="A408" s="76" t="n">
        <v>184.47</v>
      </c>
      <c r="B408" s="77" t="n">
        <v>3.0746</v>
      </c>
      <c r="C408" s="76" t="n">
        <v>431.47</v>
      </c>
      <c r="D408" s="76" t="n">
        <v>430.56</v>
      </c>
    </row>
    <row r="409">
      <c r="A409" s="76" t="n">
        <v>185.47</v>
      </c>
      <c r="B409" s="77" t="n">
        <v>3.0912</v>
      </c>
      <c r="C409" s="76" t="n">
        <v>431.4</v>
      </c>
      <c r="D409" s="76" t="n">
        <v>430.49</v>
      </c>
    </row>
    <row r="410">
      <c r="A410" s="76" t="n">
        <v>185.97</v>
      </c>
      <c r="B410" s="77" t="n">
        <v>3.0996</v>
      </c>
      <c r="C410" s="76" t="n">
        <v>431.36</v>
      </c>
      <c r="D410" s="76" t="n">
        <v>430.45</v>
      </c>
    </row>
    <row r="411">
      <c r="A411" s="76" t="n">
        <v>186.97</v>
      </c>
      <c r="B411" s="77" t="n">
        <v>3.1162</v>
      </c>
      <c r="C411" s="76" t="n">
        <v>431.28</v>
      </c>
      <c r="D411" s="76" t="n">
        <v>430.37</v>
      </c>
    </row>
    <row r="412">
      <c r="A412" s="76" t="n">
        <v>187.47</v>
      </c>
      <c r="B412" s="77" t="n">
        <v>3.1245</v>
      </c>
      <c r="C412" s="76" t="n">
        <v>431.25</v>
      </c>
      <c r="D412" s="76" t="n">
        <v>430.34</v>
      </c>
    </row>
    <row r="413">
      <c r="A413" s="76" t="n">
        <v>187.97</v>
      </c>
      <c r="B413" s="77" t="n">
        <v>3.1329</v>
      </c>
      <c r="C413" s="76" t="n">
        <v>431.21</v>
      </c>
      <c r="D413" s="76" t="n">
        <v>430.3</v>
      </c>
    </row>
    <row r="414">
      <c r="A414" s="76" t="n">
        <v>188.47</v>
      </c>
      <c r="B414" s="77" t="n">
        <v>3.1412</v>
      </c>
      <c r="C414" s="76" t="n">
        <v>431.17</v>
      </c>
      <c r="D414" s="76" t="n">
        <v>430.26</v>
      </c>
    </row>
    <row r="415">
      <c r="A415" s="76" t="n">
        <v>189.47</v>
      </c>
      <c r="B415" s="77" t="n">
        <v>3.1579</v>
      </c>
      <c r="C415" s="76" t="n">
        <v>431.1</v>
      </c>
      <c r="D415" s="76" t="n">
        <v>430.19</v>
      </c>
    </row>
    <row r="416">
      <c r="A416" s="76" t="n">
        <v>189.97</v>
      </c>
      <c r="B416" s="77" t="n">
        <v>3.1662</v>
      </c>
      <c r="C416" s="76" t="n">
        <v>431.06</v>
      </c>
      <c r="D416" s="76" t="n">
        <v>430.15</v>
      </c>
    </row>
    <row r="417">
      <c r="A417" s="76" t="n">
        <v>190.97</v>
      </c>
      <c r="B417" s="77" t="n">
        <v>3.1829</v>
      </c>
      <c r="C417" s="76" t="n">
        <v>430.98</v>
      </c>
      <c r="D417" s="76" t="n">
        <v>430.08</v>
      </c>
    </row>
    <row r="418">
      <c r="A418" s="76" t="n">
        <v>191.47</v>
      </c>
      <c r="B418" s="77" t="n">
        <v>3.1912</v>
      </c>
      <c r="C418" s="76" t="n">
        <v>430.95</v>
      </c>
      <c r="D418" s="76" t="n">
        <v>430.04</v>
      </c>
    </row>
    <row r="419">
      <c r="A419" s="76" t="n">
        <v>192.47</v>
      </c>
      <c r="B419" s="77" t="n">
        <v>3.2079</v>
      </c>
      <c r="C419" s="76" t="n">
        <v>430.87</v>
      </c>
      <c r="D419" s="76" t="n">
        <v>429.96</v>
      </c>
    </row>
    <row r="420">
      <c r="A420" s="76" t="n">
        <v>192.97</v>
      </c>
      <c r="B420" s="77" t="n">
        <v>3.2162</v>
      </c>
      <c r="C420" s="76" t="n">
        <v>430.83</v>
      </c>
      <c r="D420" s="76" t="n">
        <v>429.93</v>
      </c>
    </row>
    <row r="421">
      <c r="A421" s="76" t="n">
        <v>193.97</v>
      </c>
      <c r="B421" s="77" t="n">
        <v>3.2328</v>
      </c>
      <c r="C421" s="76" t="n">
        <v>430.76</v>
      </c>
      <c r="D421" s="76" t="n">
        <v>429.85</v>
      </c>
    </row>
    <row r="422">
      <c r="A422" s="76" t="n">
        <v>194.47</v>
      </c>
      <c r="B422" s="77" t="n">
        <v>3.2412</v>
      </c>
      <c r="C422" s="76" t="n">
        <v>430.72</v>
      </c>
      <c r="D422" s="76" t="n">
        <v>429.82</v>
      </c>
    </row>
    <row r="423">
      <c r="A423" s="76" t="n">
        <v>195.47</v>
      </c>
      <c r="B423" s="77" t="n">
        <v>3.2578</v>
      </c>
      <c r="C423" s="76" t="n">
        <v>430.65</v>
      </c>
      <c r="D423" s="76" t="n">
        <v>429.74</v>
      </c>
    </row>
    <row r="424">
      <c r="A424" s="76" t="n">
        <v>195.97</v>
      </c>
      <c r="B424" s="77" t="n">
        <v>3.2662</v>
      </c>
      <c r="C424" s="76" t="n">
        <v>430.61</v>
      </c>
      <c r="D424" s="76" t="n">
        <v>429.7</v>
      </c>
    </row>
    <row r="425">
      <c r="A425" s="76" t="n">
        <v>196.97</v>
      </c>
      <c r="B425" s="77" t="n">
        <v>3.2828</v>
      </c>
      <c r="C425" s="76" t="n">
        <v>430.54</v>
      </c>
      <c r="D425" s="76" t="n">
        <v>429.63</v>
      </c>
    </row>
    <row r="426">
      <c r="A426" s="76" t="n">
        <v>197.47</v>
      </c>
      <c r="B426" s="77" t="n">
        <v>3.2912</v>
      </c>
      <c r="C426" s="76" t="n">
        <v>430.5</v>
      </c>
      <c r="D426" s="76" t="n">
        <v>429.59</v>
      </c>
    </row>
    <row r="427">
      <c r="A427" s="76" t="n">
        <v>198.47</v>
      </c>
      <c r="B427" s="77" t="n">
        <v>3.3078</v>
      </c>
      <c r="C427" s="76" t="n">
        <v>430.42</v>
      </c>
      <c r="D427" s="76" t="n">
        <v>429.52</v>
      </c>
    </row>
    <row r="428">
      <c r="A428" s="76" t="n">
        <v>198.97</v>
      </c>
      <c r="B428" s="77" t="n">
        <v>3.3162</v>
      </c>
      <c r="C428" s="76" t="n">
        <v>430.39</v>
      </c>
      <c r="D428" s="76" t="n">
        <v>429.48</v>
      </c>
    </row>
    <row r="429">
      <c r="A429" s="76" t="n">
        <v>199.97</v>
      </c>
      <c r="B429" s="77" t="n">
        <v>3.3328</v>
      </c>
      <c r="C429" s="76" t="n">
        <v>430.31</v>
      </c>
      <c r="D429" s="76" t="n">
        <v>429.41</v>
      </c>
    </row>
    <row r="430">
      <c r="A430" s="76" t="n">
        <v>200.47</v>
      </c>
      <c r="B430" s="77" t="n">
        <v>3.3412</v>
      </c>
      <c r="C430" s="76" t="n">
        <v>430.27</v>
      </c>
      <c r="D430" s="76" t="n">
        <v>429.37</v>
      </c>
    </row>
    <row r="431">
      <c r="A431" s="76" t="n">
        <v>201.47</v>
      </c>
      <c r="B431" s="77" t="n">
        <v>3.3578</v>
      </c>
      <c r="C431" s="76" t="n">
        <v>430.2</v>
      </c>
      <c r="D431" s="76" t="n">
        <v>429.29</v>
      </c>
    </row>
    <row r="432">
      <c r="A432" s="76" t="n">
        <v>201.97</v>
      </c>
      <c r="B432" s="77" t="n">
        <v>3.3662</v>
      </c>
      <c r="C432" s="76" t="n">
        <v>430.16</v>
      </c>
      <c r="D432" s="76" t="n">
        <v>429.26</v>
      </c>
    </row>
    <row r="433">
      <c r="A433" s="76" t="n">
        <v>202.97</v>
      </c>
      <c r="B433" s="77" t="n">
        <v>3.3828</v>
      </c>
      <c r="C433" s="76" t="n">
        <v>430.09</v>
      </c>
      <c r="D433" s="76" t="n">
        <v>429.18</v>
      </c>
    </row>
    <row r="434">
      <c r="A434" s="76" t="n">
        <v>203.47</v>
      </c>
      <c r="B434" s="77" t="n">
        <v>3.3912</v>
      </c>
      <c r="C434" s="76" t="n">
        <v>430.05</v>
      </c>
      <c r="D434" s="76" t="n">
        <v>429.15</v>
      </c>
    </row>
    <row r="435">
      <c r="A435" s="76" t="n">
        <v>204.47</v>
      </c>
      <c r="B435" s="77" t="n">
        <v>3.4078</v>
      </c>
      <c r="C435" s="76" t="n">
        <v>429.98</v>
      </c>
      <c r="D435" s="76" t="n">
        <v>429.07</v>
      </c>
    </row>
    <row r="436">
      <c r="A436" s="76" t="n">
        <v>204.97</v>
      </c>
      <c r="B436" s="77" t="n">
        <v>3.4162</v>
      </c>
      <c r="C436" s="76" t="n">
        <v>429.94</v>
      </c>
      <c r="D436" s="76" t="n">
        <v>429.03</v>
      </c>
    </row>
    <row r="437">
      <c r="A437" s="76" t="n">
        <v>205.97</v>
      </c>
      <c r="B437" s="77" t="n">
        <v>3.4328</v>
      </c>
      <c r="C437" s="76" t="n">
        <v>429.86</v>
      </c>
      <c r="D437" s="76" t="n">
        <v>428.96</v>
      </c>
    </row>
    <row r="438">
      <c r="A438" s="76" t="n">
        <v>206.47</v>
      </c>
      <c r="B438" s="77" t="n">
        <v>3.4412</v>
      </c>
      <c r="C438" s="76" t="n">
        <v>429.83</v>
      </c>
      <c r="D438" s="76" t="n">
        <v>428.92</v>
      </c>
    </row>
    <row r="439">
      <c r="A439" s="76" t="n">
        <v>207.47</v>
      </c>
      <c r="B439" s="77" t="n">
        <v>3.4578</v>
      </c>
      <c r="C439" s="76" t="n">
        <v>429.75</v>
      </c>
      <c r="D439" s="76" t="n">
        <v>428.85</v>
      </c>
    </row>
    <row r="440">
      <c r="A440" s="76" t="n">
        <v>207.97</v>
      </c>
      <c r="B440" s="77" t="n">
        <v>3.4662</v>
      </c>
      <c r="C440" s="76" t="n">
        <v>429.72</v>
      </c>
      <c r="D440" s="76" t="n">
        <v>428.81</v>
      </c>
    </row>
    <row r="441">
      <c r="A441" s="76" t="n">
        <v>208.47</v>
      </c>
      <c r="B441" s="77" t="n">
        <v>3.4745</v>
      </c>
      <c r="C441" s="76" t="n">
        <v>429.68</v>
      </c>
      <c r="D441" s="76" t="n">
        <v>428.77</v>
      </c>
    </row>
    <row r="442">
      <c r="A442" s="76" t="n">
        <v>208.97</v>
      </c>
      <c r="B442" s="77" t="n">
        <v>3.4828</v>
      </c>
      <c r="C442" s="76" t="n">
        <v>429.64</v>
      </c>
      <c r="D442" s="76" t="n">
        <v>428.74</v>
      </c>
    </row>
    <row r="443">
      <c r="A443" s="76" t="n">
        <v>209.97</v>
      </c>
      <c r="B443" s="77" t="n">
        <v>3.4994</v>
      </c>
      <c r="C443" s="76" t="n">
        <v>429.57</v>
      </c>
      <c r="D443" s="76" t="n">
        <v>428.66</v>
      </c>
    </row>
    <row r="444">
      <c r="A444" s="76" t="n">
        <v>210.47</v>
      </c>
      <c r="B444" s="77" t="n">
        <v>3.5078</v>
      </c>
      <c r="C444" s="76" t="n">
        <v>429.53</v>
      </c>
      <c r="D444" s="76" t="n">
        <v>428.63</v>
      </c>
    </row>
    <row r="445">
      <c r="A445" s="76" t="n">
        <v>211.46</v>
      </c>
      <c r="B445" s="77" t="n">
        <v>3.5244</v>
      </c>
      <c r="C445" s="76" t="n">
        <v>429.46</v>
      </c>
      <c r="D445" s="76" t="n">
        <v>428.55</v>
      </c>
    </row>
    <row r="446">
      <c r="A446" s="76" t="n">
        <v>211.96</v>
      </c>
      <c r="B446" s="77" t="n">
        <v>3.5327</v>
      </c>
      <c r="C446" s="76" t="n">
        <v>429.42</v>
      </c>
      <c r="D446" s="76" t="n">
        <v>428.51</v>
      </c>
    </row>
    <row r="447">
      <c r="A447" s="76" t="n">
        <v>212.96</v>
      </c>
      <c r="B447" s="77" t="n">
        <v>3.5494</v>
      </c>
      <c r="C447" s="76" t="n">
        <v>429.34</v>
      </c>
      <c r="D447" s="76" t="n">
        <v>428.44</v>
      </c>
    </row>
    <row r="448">
      <c r="A448" s="76" t="n">
        <v>213.46</v>
      </c>
      <c r="B448" s="77" t="n">
        <v>3.5577</v>
      </c>
      <c r="C448" s="76" t="n">
        <v>429.31</v>
      </c>
      <c r="D448" s="76" t="n">
        <v>428.4</v>
      </c>
    </row>
    <row r="449">
      <c r="A449" s="76" t="n">
        <v>214.46</v>
      </c>
      <c r="B449" s="77" t="n">
        <v>3.5743</v>
      </c>
      <c r="C449" s="76" t="n">
        <v>429.23</v>
      </c>
      <c r="D449" s="76" t="n">
        <v>428.33</v>
      </c>
    </row>
    <row r="450">
      <c r="A450" s="76" t="n">
        <v>214.96</v>
      </c>
      <c r="B450" s="77" t="n">
        <v>3.5826</v>
      </c>
      <c r="C450" s="76" t="n">
        <v>429.2</v>
      </c>
      <c r="D450" s="76" t="n">
        <v>428.29</v>
      </c>
    </row>
    <row r="451">
      <c r="A451" s="76" t="n">
        <v>215.96</v>
      </c>
      <c r="B451" s="77" t="n">
        <v>3.5993</v>
      </c>
      <c r="C451" s="76" t="n">
        <v>429.12</v>
      </c>
      <c r="D451" s="76" t="n">
        <v>428.22</v>
      </c>
    </row>
    <row r="452">
      <c r="A452" s="76" t="n">
        <v>216.45</v>
      </c>
      <c r="B452" s="77" t="n">
        <v>3.6076</v>
      </c>
      <c r="C452" s="76" t="n">
        <v>429.08</v>
      </c>
      <c r="D452" s="76" t="n">
        <v>428.18</v>
      </c>
    </row>
    <row r="453">
      <c r="A453" s="76" t="n">
        <v>217.45</v>
      </c>
      <c r="B453" s="77" t="n">
        <v>3.6242</v>
      </c>
      <c r="C453" s="76" t="n">
        <v>429.01</v>
      </c>
      <c r="D453" s="76" t="n">
        <v>428.11</v>
      </c>
    </row>
    <row r="454">
      <c r="A454" s="76" t="n">
        <v>217.95</v>
      </c>
      <c r="B454" s="77" t="n">
        <v>3.6325</v>
      </c>
      <c r="C454" s="76" t="n">
        <v>428.97</v>
      </c>
      <c r="D454" s="76" t="n">
        <v>428.07</v>
      </c>
    </row>
    <row r="455">
      <c r="A455" s="76" t="n">
        <v>218.95</v>
      </c>
      <c r="B455" s="77" t="n">
        <v>3.6492</v>
      </c>
      <c r="C455" s="76" t="n">
        <v>428.9</v>
      </c>
      <c r="D455" s="76" t="n">
        <v>428</v>
      </c>
    </row>
    <row r="456">
      <c r="A456" s="76" t="n">
        <v>219.45</v>
      </c>
      <c r="B456" s="77" t="n">
        <v>3.6575</v>
      </c>
      <c r="C456" s="76" t="n">
        <v>428.86</v>
      </c>
      <c r="D456" s="76" t="n">
        <v>427.96</v>
      </c>
    </row>
    <row r="457">
      <c r="A457" s="76" t="n">
        <v>220.45</v>
      </c>
      <c r="B457" s="77" t="n">
        <v>3.6741</v>
      </c>
      <c r="C457" s="76" t="n">
        <v>428.79</v>
      </c>
      <c r="D457" s="76" t="n">
        <v>427.89</v>
      </c>
    </row>
    <row r="458">
      <c r="A458" s="76" t="n">
        <v>220.95</v>
      </c>
      <c r="B458" s="77" t="n">
        <v>3.6824</v>
      </c>
      <c r="C458" s="76" t="n">
        <v>428.75</v>
      </c>
      <c r="D458" s="76" t="n">
        <v>427.85</v>
      </c>
    </row>
    <row r="459">
      <c r="A459" s="76" t="n">
        <v>221.94</v>
      </c>
      <c r="B459" s="77" t="n">
        <v>3.6991</v>
      </c>
      <c r="C459" s="76" t="n">
        <v>428.68</v>
      </c>
      <c r="D459" s="76" t="n">
        <v>427.77</v>
      </c>
    </row>
    <row r="460">
      <c r="A460" s="76" t="n">
        <v>222.44</v>
      </c>
      <c r="B460" s="77" t="n">
        <v>3.7074</v>
      </c>
      <c r="C460" s="76" t="n">
        <v>428.64</v>
      </c>
      <c r="D460" s="76" t="n">
        <v>427.74</v>
      </c>
    </row>
    <row r="461">
      <c r="A461" s="76" t="n">
        <v>223.44</v>
      </c>
      <c r="B461" s="77" t="n">
        <v>3.724</v>
      </c>
      <c r="C461" s="76" t="n">
        <v>428.56</v>
      </c>
      <c r="D461" s="76" t="n">
        <v>427.66</v>
      </c>
    </row>
    <row r="462">
      <c r="A462" s="76" t="n">
        <v>223.94</v>
      </c>
      <c r="B462" s="77" t="n">
        <v>3.7323</v>
      </c>
      <c r="C462" s="76" t="n">
        <v>428.53</v>
      </c>
      <c r="D462" s="76" t="n">
        <v>427.63</v>
      </c>
    </row>
    <row r="463">
      <c r="A463" s="76" t="n">
        <v>224.94</v>
      </c>
      <c r="B463" s="77" t="n">
        <v>3.749</v>
      </c>
      <c r="C463" s="76" t="n">
        <v>428.45</v>
      </c>
      <c r="D463" s="76" t="n">
        <v>427.55</v>
      </c>
    </row>
    <row r="464">
      <c r="A464" s="76" t="n">
        <v>225.44</v>
      </c>
      <c r="B464" s="77" t="n">
        <v>3.7573</v>
      </c>
      <c r="C464" s="76" t="n">
        <v>428.42</v>
      </c>
      <c r="D464" s="76" t="n">
        <v>427.52</v>
      </c>
    </row>
    <row r="465">
      <c r="A465" s="76" t="n">
        <v>226.44</v>
      </c>
      <c r="B465" s="77" t="n">
        <v>3.7739</v>
      </c>
      <c r="C465" s="76" t="n">
        <v>428.34</v>
      </c>
      <c r="D465" s="76" t="n">
        <v>427.44</v>
      </c>
    </row>
    <row r="466">
      <c r="A466" s="76" t="n">
        <v>226.93</v>
      </c>
      <c r="B466" s="77" t="n">
        <v>3.7822</v>
      </c>
      <c r="C466" s="76" t="n">
        <v>428.31</v>
      </c>
      <c r="D466" s="76" t="n">
        <v>427.41</v>
      </c>
    </row>
    <row r="467">
      <c r="A467" s="76" t="n">
        <v>227.93</v>
      </c>
      <c r="B467" s="77" t="n">
        <v>3.7989</v>
      </c>
      <c r="C467" s="76" t="n">
        <v>428.23</v>
      </c>
      <c r="D467" s="76" t="n">
        <v>427.33</v>
      </c>
    </row>
    <row r="468">
      <c r="A468" s="76" t="n">
        <v>228.43</v>
      </c>
      <c r="B468" s="77" t="n">
        <v>3.8072</v>
      </c>
      <c r="C468" s="76" t="n">
        <v>428.19</v>
      </c>
      <c r="D468" s="76" t="n">
        <v>427.29</v>
      </c>
    </row>
    <row r="469">
      <c r="A469" s="76" t="n">
        <v>229.43</v>
      </c>
      <c r="B469" s="77" t="n">
        <v>3.8238</v>
      </c>
      <c r="C469" s="76" t="n">
        <v>428.12</v>
      </c>
      <c r="D469" s="76" t="n">
        <v>427.22</v>
      </c>
    </row>
    <row r="470">
      <c r="A470" s="76" t="n">
        <v>229.93</v>
      </c>
      <c r="B470" s="77" t="n">
        <v>3.8321</v>
      </c>
      <c r="C470" s="76" t="n">
        <v>428.08</v>
      </c>
      <c r="D470" s="76" t="n">
        <v>427.18</v>
      </c>
    </row>
    <row r="471">
      <c r="A471" s="76" t="n">
        <v>230.43</v>
      </c>
      <c r="B471" s="77" t="n">
        <v>3.8405</v>
      </c>
      <c r="C471" s="76" t="n">
        <v>428.05</v>
      </c>
      <c r="D471" s="76" t="n">
        <v>427.15</v>
      </c>
    </row>
    <row r="472">
      <c r="A472" s="76" t="n">
        <v>230.93</v>
      </c>
      <c r="B472" s="77" t="n">
        <v>3.8488</v>
      </c>
      <c r="C472" s="76" t="n">
        <v>428.01</v>
      </c>
      <c r="D472" s="76" t="n">
        <v>427.11</v>
      </c>
    </row>
    <row r="473">
      <c r="A473" s="76" t="n">
        <v>231.93</v>
      </c>
      <c r="B473" s="77" t="n">
        <v>3.8654</v>
      </c>
      <c r="C473" s="76" t="n">
        <v>427.94</v>
      </c>
      <c r="D473" s="76" t="n">
        <v>427.04</v>
      </c>
    </row>
    <row r="474">
      <c r="A474" s="76" t="n">
        <v>232.42</v>
      </c>
      <c r="B474" s="77" t="n">
        <v>3.8737</v>
      </c>
      <c r="C474" s="76" t="n">
        <v>427.9</v>
      </c>
      <c r="D474" s="76" t="n">
        <v>427</v>
      </c>
    </row>
    <row r="475">
      <c r="A475" s="76" t="n">
        <v>233.42</v>
      </c>
      <c r="B475" s="77" t="n">
        <v>3.8904</v>
      </c>
      <c r="C475" s="76" t="n">
        <v>427.82</v>
      </c>
      <c r="D475" s="76" t="n">
        <v>426.93</v>
      </c>
    </row>
    <row r="476">
      <c r="A476" s="76" t="n">
        <v>233.92</v>
      </c>
      <c r="B476" s="77" t="n">
        <v>3.8987</v>
      </c>
      <c r="C476" s="76" t="n">
        <v>427.79</v>
      </c>
      <c r="D476" s="76" t="n">
        <v>426.89</v>
      </c>
    </row>
    <row r="477">
      <c r="A477" s="76" t="n">
        <v>234.92</v>
      </c>
      <c r="B477" s="77" t="n">
        <v>3.9153</v>
      </c>
      <c r="C477" s="76" t="n">
        <v>427.71</v>
      </c>
      <c r="D477" s="76" t="n">
        <v>426.82</v>
      </c>
    </row>
    <row r="478">
      <c r="A478" s="76" t="n">
        <v>235.42</v>
      </c>
      <c r="B478" s="77" t="n">
        <v>3.9236</v>
      </c>
      <c r="C478" s="76" t="n">
        <v>427.68</v>
      </c>
      <c r="D478" s="76" t="n">
        <v>426.78</v>
      </c>
    </row>
    <row r="479">
      <c r="A479" s="76" t="n">
        <v>236.42</v>
      </c>
      <c r="B479" s="77" t="n">
        <v>3.9403</v>
      </c>
      <c r="C479" s="76" t="n">
        <v>427.6</v>
      </c>
      <c r="D479" s="76" t="n">
        <v>426.71</v>
      </c>
    </row>
    <row r="480">
      <c r="A480" s="76" t="n">
        <v>236.92</v>
      </c>
      <c r="B480" s="77" t="n">
        <v>3.9486</v>
      </c>
      <c r="C480" s="76" t="n">
        <v>427.57</v>
      </c>
      <c r="D480" s="76" t="n">
        <v>426.67</v>
      </c>
    </row>
    <row r="481">
      <c r="A481" s="76" t="n">
        <v>237.91</v>
      </c>
      <c r="B481" s="77" t="n">
        <v>3.9652</v>
      </c>
      <c r="C481" s="76" t="n">
        <v>427.49</v>
      </c>
      <c r="D481" s="76" t="n">
        <v>426.59</v>
      </c>
    </row>
    <row r="482">
      <c r="A482" s="76" t="n">
        <v>238.41</v>
      </c>
      <c r="B482" s="77" t="n">
        <v>3.9735</v>
      </c>
      <c r="C482" s="76" t="n">
        <v>427.46</v>
      </c>
      <c r="D482" s="76" t="n">
        <v>426.56</v>
      </c>
    </row>
    <row r="483">
      <c r="A483" s="76" t="n">
        <v>239.41</v>
      </c>
      <c r="B483" s="77" t="n">
        <v>3.9902</v>
      </c>
      <c r="C483" s="76" t="n">
        <v>427.38</v>
      </c>
      <c r="D483" s="76" t="n">
        <v>426.48</v>
      </c>
    </row>
    <row r="484">
      <c r="A484" s="76" t="n">
        <v>239.91</v>
      </c>
      <c r="B484" s="77" t="n">
        <v>3.9985</v>
      </c>
      <c r="C484" s="76" t="n">
        <v>427.35</v>
      </c>
      <c r="D484" s="76" t="n">
        <v>426.45</v>
      </c>
    </row>
    <row r="485">
      <c r="A485" s="76" t="n">
        <v>240.91</v>
      </c>
      <c r="B485" s="77" t="n">
        <v>4.0151</v>
      </c>
      <c r="C485" s="76" t="n">
        <v>427.27</v>
      </c>
      <c r="D485" s="76" t="n">
        <v>426.37</v>
      </c>
    </row>
    <row r="486">
      <c r="A486" s="76" t="n">
        <v>241.41</v>
      </c>
      <c r="B486" s="77" t="n">
        <v>4.0235</v>
      </c>
      <c r="C486" s="76" t="n">
        <v>427.23</v>
      </c>
      <c r="D486" s="76" t="n">
        <v>426.34</v>
      </c>
    </row>
    <row r="487">
      <c r="A487" s="76" t="n">
        <v>242.41</v>
      </c>
      <c r="B487" s="77" t="n">
        <v>4.0401</v>
      </c>
      <c r="C487" s="76" t="n">
        <v>427.16</v>
      </c>
      <c r="D487" s="76" t="n">
        <v>426.26</v>
      </c>
    </row>
    <row r="488">
      <c r="A488" s="76" t="n">
        <v>242.9</v>
      </c>
      <c r="B488" s="77" t="n">
        <v>4.0484</v>
      </c>
      <c r="C488" s="76" t="n">
        <v>427.12</v>
      </c>
      <c r="D488" s="76" t="n">
        <v>426.23</v>
      </c>
    </row>
    <row r="489">
      <c r="A489" s="76" t="n">
        <v>243.9</v>
      </c>
      <c r="B489" s="77" t="n">
        <v>4.065</v>
      </c>
      <c r="C489" s="76" t="n">
        <v>427.05</v>
      </c>
      <c r="D489" s="76" t="n">
        <v>426.15</v>
      </c>
    </row>
    <row r="490">
      <c r="A490" s="76" t="n">
        <v>244.4</v>
      </c>
      <c r="B490" s="77" t="n">
        <v>4.0734</v>
      </c>
      <c r="C490" s="76" t="n">
        <v>427.01</v>
      </c>
      <c r="D490" s="76" t="n">
        <v>426.12</v>
      </c>
    </row>
    <row r="491">
      <c r="A491" s="76" t="n">
        <v>245.4</v>
      </c>
      <c r="B491" s="77" t="n">
        <v>4.09</v>
      </c>
      <c r="C491" s="76" t="n">
        <v>426.94</v>
      </c>
      <c r="D491" s="76" t="n">
        <v>426.04</v>
      </c>
    </row>
    <row r="492">
      <c r="A492" s="76" t="n">
        <v>245.9</v>
      </c>
      <c r="B492" s="77" t="n">
        <v>4.0983</v>
      </c>
      <c r="C492" s="76" t="n">
        <v>426.9</v>
      </c>
      <c r="D492" s="76" t="n">
        <v>426.01</v>
      </c>
    </row>
    <row r="493">
      <c r="A493" s="76" t="n">
        <v>246.9</v>
      </c>
      <c r="B493" s="77" t="n">
        <v>4.1149</v>
      </c>
      <c r="C493" s="76" t="n">
        <v>426.83</v>
      </c>
      <c r="D493" s="76" t="n">
        <v>425.93</v>
      </c>
    </row>
    <row r="494">
      <c r="A494" s="76" t="n">
        <v>247.4</v>
      </c>
      <c r="B494" s="77" t="n">
        <v>4.1233</v>
      </c>
      <c r="C494" s="76" t="n">
        <v>426.79</v>
      </c>
      <c r="D494" s="76" t="n">
        <v>425.9</v>
      </c>
    </row>
    <row r="495">
      <c r="A495" s="76" t="n">
        <v>248.39</v>
      </c>
      <c r="B495" s="77" t="n">
        <v>4.1399</v>
      </c>
      <c r="C495" s="76" t="n">
        <v>426.72</v>
      </c>
      <c r="D495" s="76" t="n">
        <v>425.82</v>
      </c>
    </row>
    <row r="496">
      <c r="A496" s="76" t="n">
        <v>248.89</v>
      </c>
      <c r="B496" s="77" t="n">
        <v>4.1482</v>
      </c>
      <c r="C496" s="76" t="n">
        <v>426.68</v>
      </c>
      <c r="D496" s="76" t="n">
        <v>425.79</v>
      </c>
    </row>
    <row r="497">
      <c r="A497" s="76" t="n">
        <v>249.89</v>
      </c>
      <c r="B497" s="77" t="n">
        <v>4.1649</v>
      </c>
      <c r="C497" s="76" t="n">
        <v>426.61</v>
      </c>
      <c r="D497" s="76" t="n">
        <v>425.71</v>
      </c>
    </row>
    <row r="498">
      <c r="A498" s="76" t="n">
        <v>250.39</v>
      </c>
      <c r="B498" s="77" t="n">
        <v>4.1732</v>
      </c>
      <c r="C498" s="76" t="n">
        <v>426.57</v>
      </c>
      <c r="D498" s="76" t="n">
        <v>425.68</v>
      </c>
    </row>
    <row r="499">
      <c r="A499" s="76" t="n">
        <v>250.89</v>
      </c>
      <c r="B499" s="77" t="n">
        <v>4.1815</v>
      </c>
      <c r="C499" s="76" t="n">
        <v>426.53</v>
      </c>
      <c r="D499" s="76" t="n">
        <v>425.64</v>
      </c>
    </row>
    <row r="500">
      <c r="A500" s="76" t="n">
        <v>251.39</v>
      </c>
      <c r="B500" s="77" t="n">
        <v>4.1898</v>
      </c>
      <c r="C500" s="76" t="n">
        <v>426.5</v>
      </c>
      <c r="D500" s="76" t="n">
        <v>425.6</v>
      </c>
    </row>
    <row r="501">
      <c r="A501" s="76" t="n">
        <v>252.39</v>
      </c>
      <c r="B501" s="77" t="n">
        <v>4.2064</v>
      </c>
      <c r="C501" s="76" t="n">
        <v>426.42</v>
      </c>
      <c r="D501" s="76" t="n">
        <v>425.53</v>
      </c>
    </row>
    <row r="502">
      <c r="A502" s="76" t="n">
        <v>252.89</v>
      </c>
      <c r="B502" s="77" t="n">
        <v>4.2148</v>
      </c>
      <c r="C502" s="76" t="n">
        <v>426.39</v>
      </c>
      <c r="D502" s="76" t="n">
        <v>425.49</v>
      </c>
    </row>
    <row r="503">
      <c r="A503" s="76" t="n">
        <v>253.63</v>
      </c>
      <c r="B503" s="77" t="n">
        <v>4.2272</v>
      </c>
      <c r="C503" s="76" t="n">
        <v>426.33</v>
      </c>
      <c r="D503" s="76" t="n">
        <v>424.33</v>
      </c>
    </row>
    <row r="504">
      <c r="A504" s="76" t="n">
        <v>253.88</v>
      </c>
      <c r="B504" s="77" t="n">
        <v>4.2314</v>
      </c>
      <c r="C504" s="76" t="n">
        <v>426.31</v>
      </c>
      <c r="D504" s="76" t="n">
        <v>423.7</v>
      </c>
    </row>
    <row r="505">
      <c r="A505" s="76" t="n">
        <v>254.38</v>
      </c>
      <c r="B505" s="77" t="n">
        <v>4.2397</v>
      </c>
      <c r="C505" s="76" t="n">
        <v>426.28</v>
      </c>
      <c r="D505" s="76" t="n">
        <v>422.82</v>
      </c>
    </row>
    <row r="506">
      <c r="A506" s="76" t="n">
        <v>254.63</v>
      </c>
      <c r="B506" s="77" t="n">
        <v>4.2439</v>
      </c>
      <c r="C506" s="76" t="n">
        <v>426.26</v>
      </c>
      <c r="D506" s="76" t="n">
        <v>422.45</v>
      </c>
    </row>
    <row r="507">
      <c r="A507" s="76" t="n">
        <v>255.13</v>
      </c>
      <c r="B507" s="77" t="n">
        <v>4.2522</v>
      </c>
      <c r="C507" s="76" t="n">
        <v>426.21</v>
      </c>
      <c r="D507" s="76" t="n">
        <v>421.8</v>
      </c>
    </row>
    <row r="508">
      <c r="A508" s="76" t="n">
        <v>255.38</v>
      </c>
      <c r="B508" s="77" t="n">
        <v>4.2564</v>
      </c>
      <c r="C508" s="76" t="n">
        <v>426.18</v>
      </c>
      <c r="D508" s="76" t="n">
        <v>421.51</v>
      </c>
    </row>
    <row r="509">
      <c r="A509" s="76" t="n">
        <v>255.88</v>
      </c>
      <c r="B509" s="77" t="n">
        <v>4.2647</v>
      </c>
      <c r="C509" s="76" t="n">
        <v>426.12</v>
      </c>
      <c r="D509" s="76" t="n">
        <v>420.95</v>
      </c>
    </row>
    <row r="510">
      <c r="A510" s="76" t="n">
        <v>256.13</v>
      </c>
      <c r="B510" s="77" t="n">
        <v>4.2689</v>
      </c>
      <c r="C510" s="76" t="n">
        <v>426.08</v>
      </c>
      <c r="D510" s="76" t="n">
        <v>420.69</v>
      </c>
    </row>
    <row r="511">
      <c r="A511" s="76" t="n">
        <v>256.63</v>
      </c>
      <c r="B511" s="77" t="n">
        <v>4.2772</v>
      </c>
      <c r="C511" s="76" t="n">
        <v>425.99</v>
      </c>
      <c r="D511" s="76" t="n">
        <v>420.19</v>
      </c>
    </row>
    <row r="512">
      <c r="A512" s="76" t="n">
        <v>256.88</v>
      </c>
      <c r="B512" s="77" t="n">
        <v>4.2814</v>
      </c>
      <c r="C512" s="76" t="n">
        <v>425.93</v>
      </c>
      <c r="D512" s="76" t="n">
        <v>419.95</v>
      </c>
    </row>
    <row r="513">
      <c r="A513" s="76" t="n">
        <v>257.38</v>
      </c>
      <c r="B513" s="77" t="n">
        <v>4.2897</v>
      </c>
      <c r="C513" s="76" t="n">
        <v>425.8</v>
      </c>
      <c r="D513" s="76" t="n">
        <v>419.49</v>
      </c>
    </row>
    <row r="514">
      <c r="A514" s="76" t="n">
        <v>257.63</v>
      </c>
      <c r="B514" s="77" t="n">
        <v>4.2939</v>
      </c>
      <c r="C514" s="76" t="n">
        <v>425.73</v>
      </c>
      <c r="D514" s="76" t="n">
        <v>419.27</v>
      </c>
    </row>
    <row r="515">
      <c r="A515" s="76" t="n">
        <v>258.13</v>
      </c>
      <c r="B515" s="77" t="n">
        <v>4.3022</v>
      </c>
      <c r="C515" s="76" t="n">
        <v>425.56</v>
      </c>
      <c r="D515" s="76" t="n">
        <v>418.83</v>
      </c>
    </row>
    <row r="516">
      <c r="A516" s="76" t="n">
        <v>258.38</v>
      </c>
      <c r="B516" s="77" t="n">
        <v>4.3064</v>
      </c>
      <c r="C516" s="76" t="n">
        <v>425.47</v>
      </c>
      <c r="D516" s="76" t="n">
        <v>418.61</v>
      </c>
    </row>
    <row r="517">
      <c r="A517" s="76" t="n">
        <v>258.45</v>
      </c>
      <c r="B517" s="77" t="n">
        <v>4.3074</v>
      </c>
      <c r="C517" s="76" t="n">
        <v>425.61</v>
      </c>
      <c r="D517" s="76" t="n">
        <v>415.22</v>
      </c>
    </row>
    <row r="518">
      <c r="A518" s="76" t="n">
        <v>258.48</v>
      </c>
      <c r="B518" s="77" t="n">
        <v>4.3079</v>
      </c>
      <c r="C518" s="76" t="n">
        <v>425.68</v>
      </c>
      <c r="D518" s="76" t="n">
        <v>414.23</v>
      </c>
    </row>
    <row r="519">
      <c r="A519" s="76" t="n">
        <v>258.54</v>
      </c>
      <c r="B519" s="77" t="n">
        <v>4.309</v>
      </c>
      <c r="C519" s="76" t="n">
        <v>425.82</v>
      </c>
      <c r="D519" s="76" t="n">
        <v>412.75</v>
      </c>
    </row>
    <row r="520">
      <c r="A520" s="76" t="n">
        <v>258.57</v>
      </c>
      <c r="B520" s="77" t="n">
        <v>4.3095</v>
      </c>
      <c r="C520" s="76" t="n">
        <v>425.89</v>
      </c>
      <c r="D520" s="76" t="n">
        <v>412.14</v>
      </c>
    </row>
    <row r="521">
      <c r="A521" s="76" t="n">
        <v>258.63</v>
      </c>
      <c r="B521" s="77" t="n">
        <v>4.3105</v>
      </c>
      <c r="C521" s="76" t="n">
        <v>426.03</v>
      </c>
      <c r="D521" s="76" t="n">
        <v>411.07</v>
      </c>
    </row>
    <row r="522">
      <c r="A522" s="76" t="n">
        <v>258.66</v>
      </c>
      <c r="B522" s="77" t="n">
        <v>4.311</v>
      </c>
      <c r="C522" s="76" t="n">
        <v>426.09</v>
      </c>
      <c r="D522" s="76" t="n">
        <v>410.6</v>
      </c>
    </row>
    <row r="523">
      <c r="A523" s="76" t="n">
        <v>258.72</v>
      </c>
      <c r="B523" s="77" t="n">
        <v>4.312</v>
      </c>
      <c r="C523" s="76" t="n">
        <v>426.23</v>
      </c>
      <c r="D523" s="76" t="n">
        <v>409.73</v>
      </c>
    </row>
    <row r="524">
      <c r="A524" s="76" t="n">
        <v>258.75</v>
      </c>
      <c r="B524" s="77" t="n">
        <v>4.3126</v>
      </c>
      <c r="C524" s="76" t="n">
        <v>426.3</v>
      </c>
      <c r="D524" s="76" t="n">
        <v>409.32</v>
      </c>
    </row>
    <row r="525">
      <c r="A525" s="76" t="n">
        <v>258.81</v>
      </c>
      <c r="B525" s="77" t="n">
        <v>4.3136</v>
      </c>
      <c r="C525" s="76" t="n">
        <v>426.44</v>
      </c>
      <c r="D525" s="76" t="n">
        <v>408.57</v>
      </c>
    </row>
    <row r="526">
      <c r="A526" s="76" t="n">
        <v>258.85</v>
      </c>
      <c r="B526" s="77" t="n">
        <v>4.3141</v>
      </c>
      <c r="C526" s="76" t="n">
        <v>426.5</v>
      </c>
      <c r="D526" s="76" t="n">
        <v>408.21</v>
      </c>
    </row>
    <row r="527">
      <c r="A527" s="76" t="n">
        <v>258.91</v>
      </c>
      <c r="B527" s="77" t="n">
        <v>4.3151</v>
      </c>
      <c r="C527" s="76" t="n">
        <v>426.64</v>
      </c>
      <c r="D527" s="76" t="n">
        <v>407.54</v>
      </c>
    </row>
    <row r="528">
      <c r="A528" s="76" t="n">
        <v>258.94</v>
      </c>
      <c r="B528" s="77" t="n">
        <v>4.3156</v>
      </c>
      <c r="C528" s="76" t="n">
        <v>426.71</v>
      </c>
      <c r="D528" s="76" t="n">
        <v>407.22</v>
      </c>
    </row>
    <row r="529">
      <c r="A529" s="76" t="n">
        <v>258.97</v>
      </c>
      <c r="B529" s="77" t="n">
        <v>4.3161</v>
      </c>
      <c r="C529" s="76" t="n">
        <v>426.78</v>
      </c>
      <c r="D529" s="76" t="n">
        <v>406.91</v>
      </c>
    </row>
    <row r="530">
      <c r="A530" s="76" t="n">
        <v>259</v>
      </c>
      <c r="B530" s="77" t="n">
        <v>4.3166</v>
      </c>
      <c r="C530" s="76" t="n">
        <v>426.84</v>
      </c>
      <c r="D530" s="76" t="n">
        <v>406.61</v>
      </c>
    </row>
    <row r="531">
      <c r="A531" s="76" t="n">
        <v>259.5</v>
      </c>
      <c r="B531" s="77" t="n">
        <v>4.325</v>
      </c>
      <c r="C531" s="76" t="n">
        <v>426.61</v>
      </c>
      <c r="D531" s="76" t="n">
        <v>412.65</v>
      </c>
    </row>
    <row r="532">
      <c r="A532" s="76" t="n">
        <v>259.75</v>
      </c>
      <c r="B532" s="77" t="n">
        <v>4.3291</v>
      </c>
      <c r="C532" s="76" t="n">
        <v>426.48</v>
      </c>
      <c r="D532" s="76" t="n">
        <v>413.38</v>
      </c>
    </row>
    <row r="533">
      <c r="A533" s="76" t="n">
        <v>260.25</v>
      </c>
      <c r="B533" s="77" t="n">
        <v>4.3375</v>
      </c>
      <c r="C533" s="76" t="n">
        <v>426.17</v>
      </c>
      <c r="D533" s="76" t="n">
        <v>414.03</v>
      </c>
    </row>
    <row r="534">
      <c r="A534" s="76" t="n">
        <v>260.5</v>
      </c>
      <c r="B534" s="77" t="n">
        <v>4.3416</v>
      </c>
      <c r="C534" s="76" t="n">
        <v>425.99</v>
      </c>
      <c r="D534" s="76" t="n">
        <v>414.18</v>
      </c>
    </row>
    <row r="535">
      <c r="A535" s="76" t="n">
        <v>261</v>
      </c>
      <c r="B535" s="77" t="n">
        <v>4.35</v>
      </c>
      <c r="C535" s="76" t="n">
        <v>425.6</v>
      </c>
      <c r="D535" s="76" t="n">
        <v>414.29</v>
      </c>
    </row>
    <row r="536">
      <c r="A536" s="76" t="n">
        <v>261.25</v>
      </c>
      <c r="B536" s="77" t="n">
        <v>4.3541</v>
      </c>
      <c r="C536" s="76" t="n">
        <v>425.38</v>
      </c>
      <c r="D536" s="76" t="n">
        <v>414.29</v>
      </c>
    </row>
    <row r="537">
      <c r="A537" s="76" t="n">
        <v>261.75</v>
      </c>
      <c r="B537" s="77" t="n">
        <v>4.3625</v>
      </c>
      <c r="C537" s="76" t="n">
        <v>424.91</v>
      </c>
      <c r="D537" s="76" t="n">
        <v>414.21</v>
      </c>
    </row>
    <row r="538">
      <c r="A538" s="76" t="n">
        <v>262</v>
      </c>
      <c r="B538" s="77" t="n">
        <v>4.3666</v>
      </c>
      <c r="C538" s="76" t="n">
        <v>424.66</v>
      </c>
      <c r="D538" s="76" t="n">
        <v>414.15</v>
      </c>
    </row>
    <row r="539">
      <c r="A539" s="76" t="n">
        <v>262.5</v>
      </c>
      <c r="B539" s="77" t="n">
        <v>4.375</v>
      </c>
      <c r="C539" s="76" t="n">
        <v>424.16</v>
      </c>
      <c r="D539" s="76" t="n">
        <v>413.99</v>
      </c>
    </row>
    <row r="540">
      <c r="A540" s="76" t="n">
        <v>262.75</v>
      </c>
      <c r="B540" s="77" t="n">
        <v>4.3791</v>
      </c>
      <c r="C540" s="76" t="n">
        <v>423.91</v>
      </c>
      <c r="D540" s="76" t="n">
        <v>413.89</v>
      </c>
    </row>
    <row r="541">
      <c r="A541" s="76" t="n">
        <v>263.25</v>
      </c>
      <c r="B541" s="77" t="n">
        <v>4.3875</v>
      </c>
      <c r="C541" s="76" t="n">
        <v>423.41</v>
      </c>
      <c r="D541" s="76" t="n">
        <v>413.68</v>
      </c>
    </row>
    <row r="542">
      <c r="A542" s="76" t="n">
        <v>263.5</v>
      </c>
      <c r="B542" s="77" t="n">
        <v>4.3916</v>
      </c>
      <c r="C542" s="76" t="n">
        <v>423.16</v>
      </c>
      <c r="D542" s="76" t="n">
        <v>413.56</v>
      </c>
    </row>
    <row r="543">
      <c r="A543" s="76" t="n">
        <v>264</v>
      </c>
      <c r="B543" s="77" t="n">
        <v>4.4</v>
      </c>
      <c r="C543" s="76" t="n">
        <v>422.68</v>
      </c>
      <c r="D543" s="76" t="n">
        <v>413.32</v>
      </c>
    </row>
    <row r="544">
      <c r="A544" s="76" t="n">
        <v>264.03</v>
      </c>
      <c r="B544" s="77" t="n">
        <v>4.4005</v>
      </c>
      <c r="C544" s="76" t="n">
        <v>422.73</v>
      </c>
      <c r="D544" s="76" t="n">
        <v>411.22</v>
      </c>
    </row>
    <row r="545">
      <c r="A545" s="76" t="n">
        <v>264.09</v>
      </c>
      <c r="B545" s="77" t="n">
        <v>4.4015</v>
      </c>
      <c r="C545" s="76" t="n">
        <v>422.83</v>
      </c>
      <c r="D545" s="76" t="n">
        <v>408.89</v>
      </c>
    </row>
    <row r="546">
      <c r="A546" s="76" t="n">
        <v>264.12</v>
      </c>
      <c r="B546" s="77" t="n">
        <v>4.402</v>
      </c>
      <c r="C546" s="76" t="n">
        <v>422.88</v>
      </c>
      <c r="D546" s="76" t="n">
        <v>408.09</v>
      </c>
    </row>
    <row r="547">
      <c r="A547" s="76" t="n">
        <v>264.18</v>
      </c>
      <c r="B547" s="77" t="n">
        <v>4.4031</v>
      </c>
      <c r="C547" s="76" t="n">
        <v>422.99</v>
      </c>
      <c r="D547" s="76" t="n">
        <v>406.8</v>
      </c>
    </row>
    <row r="548">
      <c r="A548" s="76" t="n">
        <v>264.21</v>
      </c>
      <c r="B548" s="77" t="n">
        <v>4.4036</v>
      </c>
      <c r="C548" s="76" t="n">
        <v>423.04</v>
      </c>
      <c r="D548" s="76" t="n">
        <v>406.25</v>
      </c>
    </row>
    <row r="549">
      <c r="A549" s="76" t="n">
        <v>264.28</v>
      </c>
      <c r="B549" s="77" t="n">
        <v>4.4046</v>
      </c>
      <c r="C549" s="76" t="n">
        <v>423.14</v>
      </c>
      <c r="D549" s="76" t="n">
        <v>405.27</v>
      </c>
    </row>
    <row r="550">
      <c r="A550" s="76" t="n">
        <v>264.31</v>
      </c>
      <c r="B550" s="77" t="n">
        <v>4.4051</v>
      </c>
      <c r="C550" s="76" t="n">
        <v>423.19</v>
      </c>
      <c r="D550" s="76" t="n">
        <v>404.83</v>
      </c>
    </row>
    <row r="551">
      <c r="A551" s="76" t="n">
        <v>264.37</v>
      </c>
      <c r="B551" s="77" t="n">
        <v>4.4061</v>
      </c>
      <c r="C551" s="76" t="n">
        <v>423.3</v>
      </c>
      <c r="D551" s="76" t="n">
        <v>404.01</v>
      </c>
    </row>
    <row r="552">
      <c r="A552" s="76" t="n">
        <v>264.4</v>
      </c>
      <c r="B552" s="77" t="n">
        <v>4.4066</v>
      </c>
      <c r="C552" s="76" t="n">
        <v>423.35</v>
      </c>
      <c r="D552" s="76" t="n">
        <v>403.63</v>
      </c>
    </row>
    <row r="553">
      <c r="A553" s="76" t="n">
        <v>264.46</v>
      </c>
      <c r="B553" s="77" t="n">
        <v>4.4077</v>
      </c>
      <c r="C553" s="76" t="n">
        <v>423.46</v>
      </c>
      <c r="D553" s="76" t="n">
        <v>402.92</v>
      </c>
    </row>
    <row r="554">
      <c r="A554" s="76" t="n">
        <v>264.49</v>
      </c>
      <c r="B554" s="77" t="n">
        <v>4.4082</v>
      </c>
      <c r="C554" s="76" t="n">
        <v>423.51</v>
      </c>
      <c r="D554" s="76" t="n">
        <v>402.58</v>
      </c>
    </row>
    <row r="555">
      <c r="A555" s="76" t="n">
        <v>264.55</v>
      </c>
      <c r="B555" s="77" t="n">
        <v>4.4092</v>
      </c>
      <c r="C555" s="76" t="n">
        <v>423.61</v>
      </c>
      <c r="D555" s="76" t="n">
        <v>401.94</v>
      </c>
    </row>
    <row r="556">
      <c r="A556" s="76" t="n">
        <v>264.61</v>
      </c>
      <c r="B556" s="77" t="n">
        <v>4.4102</v>
      </c>
      <c r="C556" s="76" t="n">
        <v>423.72</v>
      </c>
      <c r="D556" s="76" t="n">
        <v>401.33</v>
      </c>
    </row>
    <row r="557">
      <c r="A557" s="76" t="n">
        <v>264.86</v>
      </c>
      <c r="B557" s="77" t="n">
        <v>4.4144</v>
      </c>
      <c r="C557" s="76" t="n">
        <v>423.48</v>
      </c>
      <c r="D557" s="76" t="n">
        <v>405.95</v>
      </c>
    </row>
    <row r="558">
      <c r="A558" s="76" t="n">
        <v>265.11</v>
      </c>
      <c r="B558" s="77" t="n">
        <v>4.4186</v>
      </c>
      <c r="C558" s="76" t="n">
        <v>423.24</v>
      </c>
      <c r="D558" s="76" t="n">
        <v>407.48</v>
      </c>
    </row>
    <row r="559">
      <c r="A559" s="76" t="n">
        <v>265.36</v>
      </c>
      <c r="B559" s="77" t="n">
        <v>4.4227</v>
      </c>
      <c r="C559" s="76" t="n">
        <v>423</v>
      </c>
      <c r="D559" s="76" t="n">
        <v>408.24</v>
      </c>
    </row>
    <row r="560">
      <c r="A560" s="76" t="n">
        <v>265.61</v>
      </c>
      <c r="B560" s="77" t="n">
        <v>4.4269</v>
      </c>
      <c r="C560" s="76" t="n">
        <v>422.75</v>
      </c>
      <c r="D560" s="76" t="n">
        <v>408.68</v>
      </c>
    </row>
    <row r="561">
      <c r="A561" s="76" t="n">
        <v>266.11</v>
      </c>
      <c r="B561" s="77" t="n">
        <v>4.4352</v>
      </c>
      <c r="C561" s="76" t="n">
        <v>422.22</v>
      </c>
      <c r="D561" s="76" t="n">
        <v>409.13</v>
      </c>
    </row>
    <row r="562">
      <c r="A562" s="76" t="n">
        <v>266.36</v>
      </c>
      <c r="B562" s="77" t="n">
        <v>4.4394</v>
      </c>
      <c r="C562" s="76" t="n">
        <v>421.94</v>
      </c>
      <c r="D562" s="76" t="n">
        <v>409.24</v>
      </c>
    </row>
    <row r="563">
      <c r="A563" s="76" t="n">
        <v>266.86</v>
      </c>
      <c r="B563" s="77" t="n">
        <v>4.4477</v>
      </c>
      <c r="C563" s="76" t="n">
        <v>421.35</v>
      </c>
      <c r="D563" s="76" t="n">
        <v>409.32</v>
      </c>
    </row>
    <row r="564">
      <c r="A564" s="76" t="n">
        <v>267.11</v>
      </c>
      <c r="B564" s="77" t="n">
        <v>4.4519</v>
      </c>
      <c r="C564" s="76" t="n">
        <v>421.05</v>
      </c>
      <c r="D564" s="76" t="n">
        <v>409.31</v>
      </c>
    </row>
    <row r="565">
      <c r="A565" s="76" t="n">
        <v>267.61</v>
      </c>
      <c r="B565" s="77" t="n">
        <v>4.4602</v>
      </c>
      <c r="C565" s="76" t="n">
        <v>420.43</v>
      </c>
      <c r="D565" s="76" t="n">
        <v>409.23</v>
      </c>
    </row>
    <row r="566">
      <c r="A566" s="76" t="n">
        <v>267.86</v>
      </c>
      <c r="B566" s="77" t="n">
        <v>4.4644</v>
      </c>
      <c r="C566" s="76" t="n">
        <v>420.13</v>
      </c>
      <c r="D566" s="76" t="n">
        <v>409.17</v>
      </c>
    </row>
    <row r="567">
      <c r="A567" s="76" t="n">
        <v>268.36</v>
      </c>
      <c r="B567" s="77" t="n">
        <v>4.4727</v>
      </c>
      <c r="C567" s="76" t="n">
        <v>419.52</v>
      </c>
      <c r="D567" s="76" t="n">
        <v>409.01</v>
      </c>
    </row>
    <row r="568">
      <c r="A568" s="76" t="n">
        <v>268.61</v>
      </c>
      <c r="B568" s="77" t="n">
        <v>4.4769</v>
      </c>
      <c r="C568" s="76" t="n">
        <v>419.22</v>
      </c>
      <c r="D568" s="76" t="n">
        <v>408.92</v>
      </c>
    </row>
    <row r="569">
      <c r="A569" s="76" t="n">
        <v>269.11</v>
      </c>
      <c r="B569" s="77" t="n">
        <v>4.4852</v>
      </c>
      <c r="C569" s="76" t="n">
        <v>418.64</v>
      </c>
      <c r="D569" s="76" t="n">
        <v>408.72</v>
      </c>
    </row>
    <row r="570">
      <c r="A570" s="76" t="n">
        <v>269.36</v>
      </c>
      <c r="B570" s="77" t="n">
        <v>4.4894</v>
      </c>
      <c r="C570" s="76" t="n">
        <v>418.36</v>
      </c>
      <c r="D570" s="76" t="n">
        <v>408.6</v>
      </c>
    </row>
    <row r="571">
      <c r="A571" s="76" t="n">
        <v>269.64</v>
      </c>
      <c r="B571" s="77" t="n">
        <v>4.4941</v>
      </c>
      <c r="C571" s="76" t="n">
        <v>418.14</v>
      </c>
      <c r="D571" s="76" t="n">
        <v>406.37</v>
      </c>
    </row>
    <row r="572">
      <c r="A572" s="76" t="n">
        <v>269.67</v>
      </c>
      <c r="B572" s="77" t="n">
        <v>4.4946</v>
      </c>
      <c r="C572" s="76" t="n">
        <v>418.19</v>
      </c>
      <c r="D572" s="76" t="n">
        <v>405.02</v>
      </c>
    </row>
    <row r="573">
      <c r="A573" s="76" t="n">
        <v>269.74</v>
      </c>
      <c r="B573" s="77" t="n">
        <v>4.4956</v>
      </c>
      <c r="C573" s="76" t="n">
        <v>418.29</v>
      </c>
      <c r="D573" s="76" t="n">
        <v>403.23</v>
      </c>
    </row>
    <row r="574">
      <c r="A574" s="76" t="n">
        <v>269.77</v>
      </c>
      <c r="B574" s="77" t="n">
        <v>4.4961</v>
      </c>
      <c r="C574" s="76" t="n">
        <v>418.34</v>
      </c>
      <c r="D574" s="76" t="n">
        <v>402.55</v>
      </c>
    </row>
    <row r="575">
      <c r="A575" s="76" t="n">
        <v>269.83</v>
      </c>
      <c r="B575" s="77" t="n">
        <v>4.4971</v>
      </c>
      <c r="C575" s="76" t="n">
        <v>418.43</v>
      </c>
      <c r="D575" s="76" t="n">
        <v>401.39</v>
      </c>
    </row>
    <row r="576">
      <c r="A576" s="76" t="n">
        <v>269.86</v>
      </c>
      <c r="B576" s="77" t="n">
        <v>4.4976</v>
      </c>
      <c r="C576" s="76" t="n">
        <v>418.48</v>
      </c>
      <c r="D576" s="76" t="n">
        <v>400.88</v>
      </c>
    </row>
    <row r="577">
      <c r="A577" s="76" t="n">
        <v>269.92</v>
      </c>
      <c r="B577" s="77" t="n">
        <v>4.4987</v>
      </c>
      <c r="C577" s="76" t="n">
        <v>418.58</v>
      </c>
      <c r="D577" s="76" t="n">
        <v>399.96</v>
      </c>
    </row>
    <row r="578">
      <c r="A578" s="76" t="n">
        <v>269.95</v>
      </c>
      <c r="B578" s="77" t="n">
        <v>4.4992</v>
      </c>
      <c r="C578" s="76" t="n">
        <v>418.63</v>
      </c>
      <c r="D578" s="76" t="n">
        <v>399.54</v>
      </c>
    </row>
    <row r="579">
      <c r="A579" s="76" t="n">
        <v>270.01</v>
      </c>
      <c r="B579" s="77" t="n">
        <v>4.5002</v>
      </c>
      <c r="C579" s="76" t="n">
        <v>418.73</v>
      </c>
      <c r="D579" s="76" t="n">
        <v>398.76</v>
      </c>
    </row>
    <row r="580">
      <c r="A580" s="76" t="n">
        <v>270.04</v>
      </c>
      <c r="B580" s="77" t="n">
        <v>4.5007</v>
      </c>
      <c r="C580" s="76" t="n">
        <v>418.78</v>
      </c>
      <c r="D580" s="76" t="n">
        <v>398.39</v>
      </c>
    </row>
    <row r="581">
      <c r="A581" s="76" t="n">
        <v>270.1</v>
      </c>
      <c r="B581" s="77" t="n">
        <v>4.5017</v>
      </c>
      <c r="C581" s="76" t="n">
        <v>418.89</v>
      </c>
      <c r="D581" s="76" t="n">
        <v>397.7</v>
      </c>
    </row>
    <row r="582">
      <c r="A582" s="76" t="n">
        <v>270.14</v>
      </c>
      <c r="B582" s="77" t="n">
        <v>4.5023</v>
      </c>
      <c r="C582" s="76" t="n">
        <v>418.94</v>
      </c>
      <c r="D582" s="76" t="n">
        <v>397.37</v>
      </c>
    </row>
    <row r="583">
      <c r="A583" s="76" t="n">
        <v>270.2</v>
      </c>
      <c r="B583" s="77" t="n">
        <v>4.5033</v>
      </c>
      <c r="C583" s="76" t="n">
        <v>419.04</v>
      </c>
      <c r="D583" s="76" t="n">
        <v>396.75</v>
      </c>
    </row>
    <row r="584">
      <c r="A584" s="76" t="n">
        <v>270.23</v>
      </c>
      <c r="B584" s="77" t="n">
        <v>4.5038</v>
      </c>
      <c r="C584" s="76" t="n">
        <v>419.09</v>
      </c>
      <c r="D584" s="76" t="n">
        <v>396.45</v>
      </c>
    </row>
    <row r="585">
      <c r="A585" s="76" t="n">
        <v>270.73</v>
      </c>
      <c r="B585" s="77" t="n">
        <v>4.5121</v>
      </c>
      <c r="C585" s="76" t="n">
        <v>418.56</v>
      </c>
      <c r="D585" s="76" t="n">
        <v>402.64</v>
      </c>
    </row>
    <row r="586">
      <c r="A586" s="76" t="n">
        <v>270.98</v>
      </c>
      <c r="B586" s="77" t="n">
        <v>4.5163</v>
      </c>
      <c r="C586" s="76" t="n">
        <v>418.29</v>
      </c>
      <c r="D586" s="76" t="n">
        <v>403.41</v>
      </c>
    </row>
    <row r="587">
      <c r="A587" s="76" t="n">
        <v>271.23</v>
      </c>
      <c r="B587" s="77" t="n">
        <v>4.5205</v>
      </c>
      <c r="C587" s="76" t="n">
        <v>418.01</v>
      </c>
      <c r="D587" s="76" t="n">
        <v>403.86</v>
      </c>
    </row>
    <row r="588">
      <c r="A588" s="76" t="n">
        <v>271.48</v>
      </c>
      <c r="B588" s="77" t="n">
        <v>4.5246</v>
      </c>
      <c r="C588" s="76" t="n">
        <v>417.73</v>
      </c>
      <c r="D588" s="76" t="n">
        <v>404.14</v>
      </c>
    </row>
    <row r="589">
      <c r="A589" s="76" t="n">
        <v>271.98</v>
      </c>
      <c r="B589" s="77" t="n">
        <v>4.533</v>
      </c>
      <c r="C589" s="76" t="n">
        <v>417.13</v>
      </c>
      <c r="D589" s="76" t="n">
        <v>404.42</v>
      </c>
    </row>
    <row r="590">
      <c r="A590" s="76" t="n">
        <v>272.23</v>
      </c>
      <c r="B590" s="77" t="n">
        <v>4.5371</v>
      </c>
      <c r="C590" s="76" t="n">
        <v>416.81</v>
      </c>
      <c r="D590" s="76" t="n">
        <v>404.48</v>
      </c>
    </row>
    <row r="591">
      <c r="A591" s="76" t="n">
        <v>272.48</v>
      </c>
      <c r="B591" s="77" t="n">
        <v>4.5413</v>
      </c>
      <c r="C591" s="76" t="n">
        <v>416.49</v>
      </c>
      <c r="D591" s="76" t="n">
        <v>404.5</v>
      </c>
    </row>
    <row r="592">
      <c r="A592" s="76" t="n">
        <v>272.98</v>
      </c>
      <c r="B592" s="77" t="n">
        <v>4.5496</v>
      </c>
      <c r="C592" s="76" t="n">
        <v>415.83</v>
      </c>
      <c r="D592" s="76" t="n">
        <v>404.46</v>
      </c>
    </row>
    <row r="593">
      <c r="A593" s="76" t="n">
        <v>273.48</v>
      </c>
      <c r="B593" s="77" t="n">
        <v>4.558</v>
      </c>
      <c r="C593" s="76" t="n">
        <v>415.18</v>
      </c>
      <c r="D593" s="76" t="n">
        <v>404.35</v>
      </c>
    </row>
    <row r="594">
      <c r="A594" s="76" t="n">
        <v>273.73</v>
      </c>
      <c r="B594" s="77" t="n">
        <v>4.5621</v>
      </c>
      <c r="C594" s="76" t="n">
        <v>414.86</v>
      </c>
      <c r="D594" s="76" t="n">
        <v>404.28</v>
      </c>
    </row>
    <row r="595">
      <c r="A595" s="76" t="n">
        <v>274.23</v>
      </c>
      <c r="B595" s="77" t="n">
        <v>4.5705</v>
      </c>
      <c r="C595" s="76" t="n">
        <v>414.23</v>
      </c>
      <c r="D595" s="76" t="n">
        <v>404.1</v>
      </c>
    </row>
    <row r="596">
      <c r="A596" s="76" t="n">
        <v>274.48</v>
      </c>
      <c r="B596" s="77" t="n">
        <v>4.5746</v>
      </c>
      <c r="C596" s="76" t="n">
        <v>413.93</v>
      </c>
      <c r="D596" s="76" t="n">
        <v>404</v>
      </c>
    </row>
    <row r="597">
      <c r="A597" s="76" t="n">
        <v>274.98</v>
      </c>
      <c r="B597" s="77" t="n">
        <v>4.583</v>
      </c>
      <c r="C597" s="76" t="n">
        <v>413.34</v>
      </c>
      <c r="D597" s="76" t="n">
        <v>403.77</v>
      </c>
    </row>
    <row r="598">
      <c r="A598" s="76" t="n">
        <v>275.23</v>
      </c>
      <c r="B598" s="77" t="n">
        <v>4.5871</v>
      </c>
      <c r="C598" s="76" t="n">
        <v>413.06</v>
      </c>
      <c r="D598" s="76" t="n">
        <v>403.65</v>
      </c>
    </row>
    <row r="599">
      <c r="A599" s="76" t="n">
        <v>275.29</v>
      </c>
      <c r="B599" s="77" t="n">
        <v>4.5881</v>
      </c>
      <c r="C599" s="76" t="n">
        <v>413.15</v>
      </c>
      <c r="D599" s="76" t="n">
        <v>400.15</v>
      </c>
    </row>
    <row r="600">
      <c r="A600" s="76" t="n">
        <v>275.32</v>
      </c>
      <c r="B600" s="77" t="n">
        <v>4.5887</v>
      </c>
      <c r="C600" s="76" t="n">
        <v>413.2</v>
      </c>
      <c r="D600" s="76" t="n">
        <v>399.16</v>
      </c>
    </row>
    <row r="601">
      <c r="A601" s="76" t="n">
        <v>275.38</v>
      </c>
      <c r="B601" s="77" t="n">
        <v>4.5897</v>
      </c>
      <c r="C601" s="76" t="n">
        <v>413.3</v>
      </c>
      <c r="D601" s="76" t="n">
        <v>397.67</v>
      </c>
    </row>
    <row r="602">
      <c r="A602" s="76" t="n">
        <v>275.41</v>
      </c>
      <c r="B602" s="77" t="n">
        <v>4.5902</v>
      </c>
      <c r="C602" s="76" t="n">
        <v>413.35</v>
      </c>
      <c r="D602" s="76" t="n">
        <v>397.05</v>
      </c>
    </row>
    <row r="603">
      <c r="A603" s="76" t="n">
        <v>275.47</v>
      </c>
      <c r="B603" s="77" t="n">
        <v>4.5912</v>
      </c>
      <c r="C603" s="76" t="n">
        <v>413.45</v>
      </c>
      <c r="D603" s="76" t="n">
        <v>395.99</v>
      </c>
    </row>
    <row r="604">
      <c r="A604" s="76" t="n">
        <v>275.5</v>
      </c>
      <c r="B604" s="77" t="n">
        <v>4.5917</v>
      </c>
      <c r="C604" s="76" t="n">
        <v>413.5</v>
      </c>
      <c r="D604" s="76" t="n">
        <v>395.51</v>
      </c>
    </row>
    <row r="605">
      <c r="A605" s="76" t="n">
        <v>275.57</v>
      </c>
      <c r="B605" s="77" t="n">
        <v>4.5928</v>
      </c>
      <c r="C605" s="76" t="n">
        <v>413.61</v>
      </c>
      <c r="D605" s="76" t="n">
        <v>394.64</v>
      </c>
    </row>
    <row r="606">
      <c r="A606" s="76" t="n">
        <v>275.6</v>
      </c>
      <c r="B606" s="77" t="n">
        <v>4.5933</v>
      </c>
      <c r="C606" s="76" t="n">
        <v>413.66</v>
      </c>
      <c r="D606" s="76" t="n">
        <v>394.24</v>
      </c>
    </row>
    <row r="607">
      <c r="A607" s="76" t="n">
        <v>275.66</v>
      </c>
      <c r="B607" s="77" t="n">
        <v>4.5943</v>
      </c>
      <c r="C607" s="76" t="n">
        <v>413.76</v>
      </c>
      <c r="D607" s="76" t="n">
        <v>393.49</v>
      </c>
    </row>
    <row r="608">
      <c r="A608" s="76" t="n">
        <v>275.69</v>
      </c>
      <c r="B608" s="77" t="n">
        <v>4.5948</v>
      </c>
      <c r="C608" s="76" t="n">
        <v>413.81</v>
      </c>
      <c r="D608" s="76" t="n">
        <v>393.13</v>
      </c>
    </row>
    <row r="609">
      <c r="A609" s="76" t="n">
        <v>275.75</v>
      </c>
      <c r="B609" s="77" t="n">
        <v>4.5958</v>
      </c>
      <c r="C609" s="76" t="n">
        <v>413.91</v>
      </c>
      <c r="D609" s="76" t="n">
        <v>392.46</v>
      </c>
    </row>
    <row r="610">
      <c r="A610" s="76" t="n">
        <v>275.78</v>
      </c>
      <c r="B610" s="77" t="n">
        <v>4.5963</v>
      </c>
      <c r="C610" s="76" t="n">
        <v>413.96</v>
      </c>
      <c r="D610" s="76" t="n">
        <v>392.14</v>
      </c>
    </row>
    <row r="611">
      <c r="A611" s="76" t="n">
        <v>275.84</v>
      </c>
      <c r="B611" s="77" t="n">
        <v>4.5974</v>
      </c>
      <c r="C611" s="76" t="n">
        <v>414.07</v>
      </c>
      <c r="D611" s="76" t="n">
        <v>391.53</v>
      </c>
    </row>
    <row r="612">
      <c r="A612" s="76" t="n">
        <v>276.34</v>
      </c>
      <c r="B612" s="77" t="n">
        <v>4.6057</v>
      </c>
      <c r="C612" s="76" t="n">
        <v>413.51</v>
      </c>
      <c r="D612" s="76" t="n">
        <v>398.77</v>
      </c>
    </row>
    <row r="613">
      <c r="A613" s="76" t="n">
        <v>277.34</v>
      </c>
      <c r="B613" s="77" t="n">
        <v>4.6223</v>
      </c>
      <c r="C613" s="76" t="n">
        <v>412.34</v>
      </c>
      <c r="D613" s="76" t="n">
        <v>402.2</v>
      </c>
    </row>
    <row r="614">
      <c r="A614" s="76" t="n">
        <v>277.84</v>
      </c>
      <c r="B614" s="77" t="n">
        <v>4.6306</v>
      </c>
      <c r="C614" s="76" t="n">
        <v>411.73</v>
      </c>
      <c r="D614" s="76" t="n">
        <v>402.96</v>
      </c>
    </row>
    <row r="615">
      <c r="A615" s="76" t="n">
        <v>278.84</v>
      </c>
      <c r="B615" s="77" t="n">
        <v>4.6473</v>
      </c>
      <c r="C615" s="76" t="n">
        <v>410.54</v>
      </c>
      <c r="D615" s="76" t="n">
        <v>403.87</v>
      </c>
    </row>
    <row r="616">
      <c r="A616" s="76" t="n">
        <v>279.34</v>
      </c>
      <c r="B616" s="77" t="n">
        <v>4.6556</v>
      </c>
      <c r="C616" s="76" t="n">
        <v>410</v>
      </c>
      <c r="D616" s="76" t="n">
        <v>404.17</v>
      </c>
    </row>
    <row r="617">
      <c r="A617" s="76" t="n">
        <v>279.83</v>
      </c>
      <c r="B617" s="77" t="n">
        <v>4.6639</v>
      </c>
      <c r="C617" s="76" t="n">
        <v>409.49</v>
      </c>
      <c r="D617" s="76" t="n">
        <v>404.4</v>
      </c>
    </row>
    <row r="618">
      <c r="A618" s="76" t="n">
        <v>280.33</v>
      </c>
      <c r="B618" s="77" t="n">
        <v>4.6722</v>
      </c>
      <c r="C618" s="76" t="n">
        <v>409.04</v>
      </c>
      <c r="D618" s="76" t="n">
        <v>404.58</v>
      </c>
    </row>
    <row r="619">
      <c r="A619" s="76" t="n">
        <v>281.33</v>
      </c>
      <c r="B619" s="77" t="n">
        <v>4.6889</v>
      </c>
      <c r="C619" s="76" t="n">
        <v>408.28</v>
      </c>
      <c r="D619" s="76" t="n">
        <v>404.84</v>
      </c>
    </row>
    <row r="620">
      <c r="A620" s="76" t="n">
        <v>281.83</v>
      </c>
      <c r="B620" s="77" t="n">
        <v>4.6972</v>
      </c>
      <c r="C620" s="76" t="n">
        <v>407.97</v>
      </c>
      <c r="D620" s="76" t="n">
        <v>404.92</v>
      </c>
    </row>
    <row r="621">
      <c r="A621" s="76" t="n">
        <v>282.83</v>
      </c>
      <c r="B621" s="77" t="n">
        <v>4.7138</v>
      </c>
      <c r="C621" s="76" t="n">
        <v>407.45</v>
      </c>
      <c r="D621" s="76" t="n">
        <v>405.04</v>
      </c>
    </row>
    <row r="622">
      <c r="A622" s="76" t="n">
        <v>283.33</v>
      </c>
      <c r="B622" s="77" t="n">
        <v>4.7221</v>
      </c>
      <c r="C622" s="76" t="n">
        <v>407.24</v>
      </c>
      <c r="D622" s="76" t="n">
        <v>405.07</v>
      </c>
    </row>
    <row r="623">
      <c r="A623" s="76" t="n">
        <v>284.33</v>
      </c>
      <c r="B623" s="77" t="n">
        <v>4.7388</v>
      </c>
      <c r="C623" s="76" t="n">
        <v>406.89</v>
      </c>
      <c r="D623" s="76" t="n">
        <v>405.11</v>
      </c>
    </row>
    <row r="624">
      <c r="A624" s="76" t="n">
        <v>285.32</v>
      </c>
      <c r="B624" s="77" t="n">
        <v>4.7554</v>
      </c>
      <c r="C624" s="76" t="n">
        <v>406.61</v>
      </c>
      <c r="D624" s="76" t="n">
        <v>405.12</v>
      </c>
    </row>
    <row r="625">
      <c r="A625" s="76" t="n">
        <v>285.82</v>
      </c>
      <c r="B625" s="77" t="n">
        <v>4.7637</v>
      </c>
      <c r="C625" s="76" t="n">
        <v>406.5</v>
      </c>
      <c r="D625" s="76" t="n">
        <v>405.12</v>
      </c>
    </row>
    <row r="626">
      <c r="A626" s="76" t="n">
        <v>286.32</v>
      </c>
      <c r="B626" s="77" t="n">
        <v>4.772</v>
      </c>
      <c r="C626" s="76" t="n">
        <v>406.39</v>
      </c>
      <c r="D626" s="76" t="n">
        <v>405.11</v>
      </c>
    </row>
    <row r="627">
      <c r="A627" s="76" t="n">
        <v>287.32</v>
      </c>
      <c r="B627" s="77" t="n">
        <v>4.7887</v>
      </c>
      <c r="C627" s="76" t="n">
        <v>406.21</v>
      </c>
      <c r="D627" s="76" t="n">
        <v>405.07</v>
      </c>
    </row>
    <row r="628">
      <c r="A628" s="76" t="n">
        <v>287.82</v>
      </c>
      <c r="B628" s="77" t="n">
        <v>4.797</v>
      </c>
      <c r="C628" s="76" t="n">
        <v>406.14</v>
      </c>
      <c r="D628" s="76" t="n">
        <v>405.05</v>
      </c>
    </row>
    <row r="629">
      <c r="A629" s="76" t="n">
        <v>288.82</v>
      </c>
      <c r="B629" s="77" t="n">
        <v>4.8136</v>
      </c>
      <c r="C629" s="76" t="n">
        <v>406</v>
      </c>
      <c r="D629" s="76" t="n">
        <v>405</v>
      </c>
    </row>
    <row r="630">
      <c r="A630" s="76" t="n">
        <v>289.32</v>
      </c>
      <c r="B630" s="77" t="n">
        <v>4.8219</v>
      </c>
      <c r="C630" s="76" t="n">
        <v>405.93</v>
      </c>
      <c r="D630" s="76" t="n">
        <v>404.98</v>
      </c>
    </row>
    <row r="631">
      <c r="A631" s="76" t="n">
        <v>290.31</v>
      </c>
      <c r="B631" s="77" t="n">
        <v>4.8386</v>
      </c>
      <c r="C631" s="76" t="n">
        <v>405.82</v>
      </c>
      <c r="D631" s="76" t="n">
        <v>404.92</v>
      </c>
    </row>
    <row r="632">
      <c r="A632" s="76" t="n">
        <v>290.81</v>
      </c>
      <c r="B632" s="77" t="n">
        <v>4.8469</v>
      </c>
      <c r="C632" s="76" t="n">
        <v>405.77</v>
      </c>
      <c r="D632" s="76" t="n">
        <v>404.88</v>
      </c>
    </row>
    <row r="633">
      <c r="A633" s="76" t="n">
        <v>291.81</v>
      </c>
      <c r="B633" s="77" t="n">
        <v>4.8635</v>
      </c>
      <c r="C633" s="76" t="n">
        <v>405.67</v>
      </c>
      <c r="D633" s="76" t="n">
        <v>404.82</v>
      </c>
    </row>
    <row r="634">
      <c r="A634" s="76" t="n">
        <v>292.31</v>
      </c>
      <c r="B634" s="77" t="n">
        <v>4.8718</v>
      </c>
      <c r="C634" s="76" t="n">
        <v>405.62</v>
      </c>
      <c r="D634" s="76" t="n">
        <v>404.79</v>
      </c>
    </row>
    <row r="635">
      <c r="A635" s="76" t="n">
        <v>293.31</v>
      </c>
      <c r="B635" s="77" t="n">
        <v>4.8885</v>
      </c>
      <c r="C635" s="76" t="n">
        <v>405.53</v>
      </c>
      <c r="D635" s="76" t="n">
        <v>404.72</v>
      </c>
    </row>
    <row r="636">
      <c r="A636" s="76" t="n">
        <v>293.81</v>
      </c>
      <c r="B636" s="77" t="n">
        <v>4.8968</v>
      </c>
      <c r="C636" s="76" t="n">
        <v>405.49</v>
      </c>
      <c r="D636" s="76" t="n">
        <v>404.68</v>
      </c>
    </row>
    <row r="637">
      <c r="A637" s="76" t="n">
        <v>294.81</v>
      </c>
      <c r="B637" s="77" t="n">
        <v>4.9134</v>
      </c>
      <c r="C637" s="76" t="n">
        <v>405.41</v>
      </c>
      <c r="D637" s="76" t="n">
        <v>404.61</v>
      </c>
    </row>
    <row r="638">
      <c r="A638" s="76" t="n">
        <v>295.3</v>
      </c>
      <c r="B638" s="77" t="n">
        <v>4.9217</v>
      </c>
      <c r="C638" s="76" t="n">
        <v>405.37</v>
      </c>
      <c r="D638" s="76" t="n">
        <v>404.58</v>
      </c>
    </row>
    <row r="639">
      <c r="A639" s="76" t="n">
        <v>296.3</v>
      </c>
      <c r="B639" s="77" t="n">
        <v>4.9384</v>
      </c>
      <c r="C639" s="76" t="n">
        <v>405.29</v>
      </c>
      <c r="D639" s="76" t="n">
        <v>404.5</v>
      </c>
    </row>
    <row r="640">
      <c r="A640" s="76" t="n">
        <v>296.8</v>
      </c>
      <c r="B640" s="77" t="n">
        <v>4.9467</v>
      </c>
      <c r="C640" s="76" t="n">
        <v>405.25</v>
      </c>
      <c r="D640" s="76" t="n">
        <v>404.47</v>
      </c>
    </row>
    <row r="641">
      <c r="A641" s="76" t="n">
        <v>297.8</v>
      </c>
      <c r="B641" s="77" t="n">
        <v>4.9633</v>
      </c>
      <c r="C641" s="76" t="n">
        <v>405.17</v>
      </c>
      <c r="D641" s="76" t="n">
        <v>404.39</v>
      </c>
    </row>
    <row r="642">
      <c r="A642" s="76" t="n">
        <v>298.3</v>
      </c>
      <c r="B642" s="77" t="n">
        <v>4.9717</v>
      </c>
      <c r="C642" s="76" t="n">
        <v>405.13</v>
      </c>
      <c r="D642" s="76" t="n">
        <v>404.36</v>
      </c>
    </row>
    <row r="643">
      <c r="A643" s="76" t="n">
        <v>299.3</v>
      </c>
      <c r="B643" s="77" t="n">
        <v>4.9883</v>
      </c>
      <c r="C643" s="76" t="n">
        <v>405.05</v>
      </c>
      <c r="D643" s="76" t="n">
        <v>404.28</v>
      </c>
    </row>
    <row r="644">
      <c r="A644" s="76" t="n">
        <v>299.8</v>
      </c>
      <c r="B644" s="77" t="n">
        <v>4.9966</v>
      </c>
      <c r="C644" s="76" t="n">
        <v>405.02</v>
      </c>
      <c r="D644" s="76" t="n">
        <v>404.25</v>
      </c>
    </row>
    <row r="645">
      <c r="A645" s="76" t="n">
        <v>300.3</v>
      </c>
      <c r="B645" s="77" t="n">
        <v>5.0049</v>
      </c>
      <c r="C645" s="76" t="n">
        <v>404.98</v>
      </c>
      <c r="D645" s="76" t="n">
        <v>404.21</v>
      </c>
    </row>
    <row r="646">
      <c r="A646" s="76" t="n">
        <v>300.79</v>
      </c>
      <c r="B646" s="77" t="n">
        <v>5.0132</v>
      </c>
      <c r="C646" s="76" t="n">
        <v>404.94</v>
      </c>
      <c r="D646" s="76" t="n">
        <v>404.17</v>
      </c>
    </row>
    <row r="647">
      <c r="A647" s="76" t="n">
        <v>301.79</v>
      </c>
      <c r="B647" s="77" t="n">
        <v>5.0299</v>
      </c>
      <c r="C647" s="76" t="n">
        <v>404.86</v>
      </c>
      <c r="D647" s="76" t="n">
        <v>404.1</v>
      </c>
    </row>
    <row r="648">
      <c r="A648" s="76" t="n">
        <v>302.29</v>
      </c>
      <c r="B648" s="77" t="n">
        <v>5.0382</v>
      </c>
      <c r="C648" s="76" t="n">
        <v>404.83</v>
      </c>
      <c r="D648" s="76" t="n">
        <v>404.06</v>
      </c>
    </row>
    <row r="649">
      <c r="A649" s="76" t="n">
        <v>303.29</v>
      </c>
      <c r="B649" s="77" t="n">
        <v>5.0548</v>
      </c>
      <c r="C649" s="76" t="n">
        <v>404.75</v>
      </c>
      <c r="D649" s="76" t="n">
        <v>403.99</v>
      </c>
    </row>
    <row r="650">
      <c r="A650" s="76" t="n">
        <v>303.79</v>
      </c>
      <c r="B650" s="77" t="n">
        <v>5.0631</v>
      </c>
      <c r="C650" s="76" t="n">
        <v>404.71</v>
      </c>
      <c r="D650" s="76" t="n">
        <v>403.95</v>
      </c>
    </row>
    <row r="651">
      <c r="A651" s="76" t="n">
        <v>304.79</v>
      </c>
      <c r="B651" s="77" t="n">
        <v>5.0798</v>
      </c>
      <c r="C651" s="76" t="n">
        <v>404.64</v>
      </c>
      <c r="D651" s="76" t="n">
        <v>403.87</v>
      </c>
    </row>
    <row r="652">
      <c r="A652" s="76" t="n">
        <v>305.29</v>
      </c>
      <c r="B652" s="77" t="n">
        <v>5.0881</v>
      </c>
      <c r="C652" s="76" t="n">
        <v>404.6</v>
      </c>
      <c r="D652" s="76" t="n">
        <v>403.84</v>
      </c>
    </row>
    <row r="653">
      <c r="A653" s="76" t="n">
        <v>306.28</v>
      </c>
      <c r="B653" s="77" t="n">
        <v>5.1047</v>
      </c>
      <c r="C653" s="76" t="n">
        <v>404.53</v>
      </c>
      <c r="D653" s="76" t="n">
        <v>403.76</v>
      </c>
    </row>
    <row r="654">
      <c r="A654" s="76" t="n">
        <v>306.78</v>
      </c>
      <c r="B654" s="77" t="n">
        <v>5.1131</v>
      </c>
      <c r="C654" s="76" t="n">
        <v>404.49</v>
      </c>
      <c r="D654" s="76" t="n">
        <v>403.73</v>
      </c>
    </row>
    <row r="655">
      <c r="A655" s="76" t="n">
        <v>307.78</v>
      </c>
      <c r="B655" s="77" t="n">
        <v>5.1297</v>
      </c>
      <c r="C655" s="76" t="n">
        <v>404.41</v>
      </c>
      <c r="D655" s="76" t="n">
        <v>403.65</v>
      </c>
    </row>
    <row r="656">
      <c r="A656" s="76" t="n">
        <v>308.28</v>
      </c>
      <c r="B656" s="77" t="n">
        <v>5.138</v>
      </c>
      <c r="C656" s="76" t="n">
        <v>404.38</v>
      </c>
      <c r="D656" s="76" t="n">
        <v>403.61</v>
      </c>
    </row>
    <row r="657">
      <c r="A657" s="76" t="n">
        <v>309.28</v>
      </c>
      <c r="B657" s="77" t="n">
        <v>5.1546</v>
      </c>
      <c r="C657" s="76" t="n">
        <v>404.3</v>
      </c>
      <c r="D657" s="76" t="n">
        <v>403.54</v>
      </c>
    </row>
    <row r="658">
      <c r="A658" s="76" t="n">
        <v>309.78</v>
      </c>
      <c r="B658" s="77" t="n">
        <v>5.163</v>
      </c>
      <c r="C658" s="76" t="n">
        <v>404.27</v>
      </c>
      <c r="D658" s="76" t="n">
        <v>403.5</v>
      </c>
    </row>
    <row r="659">
      <c r="A659" s="76" t="n">
        <v>310.78</v>
      </c>
      <c r="B659" s="77" t="n">
        <v>5.1796</v>
      </c>
      <c r="C659" s="76" t="n">
        <v>404.19</v>
      </c>
      <c r="D659" s="76" t="n">
        <v>403.43</v>
      </c>
    </row>
    <row r="660">
      <c r="A660" s="76" t="n">
        <v>311.27</v>
      </c>
      <c r="B660" s="77" t="n">
        <v>5.1879</v>
      </c>
      <c r="C660" s="76" t="n">
        <v>404.15</v>
      </c>
      <c r="D660" s="76" t="n">
        <v>403.39</v>
      </c>
    </row>
    <row r="661">
      <c r="A661" s="76" t="n">
        <v>312.27</v>
      </c>
      <c r="B661" s="77" t="n">
        <v>5.2045</v>
      </c>
      <c r="C661" s="76" t="n">
        <v>404.08</v>
      </c>
      <c r="D661" s="76" t="n">
        <v>403.32</v>
      </c>
    </row>
    <row r="662">
      <c r="A662" s="76" t="n">
        <v>312.77</v>
      </c>
      <c r="B662" s="77" t="n">
        <v>5.2129</v>
      </c>
      <c r="C662" s="76" t="n">
        <v>404.04</v>
      </c>
      <c r="D662" s="76" t="n">
        <v>403.28</v>
      </c>
    </row>
    <row r="663">
      <c r="A663" s="76" t="n">
        <v>313.77</v>
      </c>
      <c r="B663" s="77" t="n">
        <v>5.2295</v>
      </c>
      <c r="C663" s="76" t="n">
        <v>403.97</v>
      </c>
      <c r="D663" s="76" t="n">
        <v>403.21</v>
      </c>
    </row>
    <row r="664">
      <c r="A664" s="76" t="n">
        <v>314.27</v>
      </c>
      <c r="B664" s="77" t="n">
        <v>5.2378</v>
      </c>
      <c r="C664" s="76" t="n">
        <v>403.93</v>
      </c>
      <c r="D664" s="76" t="n">
        <v>403.17</v>
      </c>
    </row>
    <row r="665">
      <c r="A665" s="76" t="n">
        <v>315.27</v>
      </c>
      <c r="B665" s="77" t="n">
        <v>5.2545</v>
      </c>
      <c r="C665" s="76" t="n">
        <v>403.86</v>
      </c>
      <c r="D665" s="76" t="n">
        <v>403.09</v>
      </c>
    </row>
    <row r="666">
      <c r="A666" s="76" t="n">
        <v>315.77</v>
      </c>
      <c r="B666" s="77" t="n">
        <v>5.2628</v>
      </c>
      <c r="C666" s="76" t="n">
        <v>403.82</v>
      </c>
      <c r="D666" s="76" t="n">
        <v>403.06</v>
      </c>
    </row>
    <row r="667">
      <c r="A667" s="76" t="n">
        <v>316.76</v>
      </c>
      <c r="B667" s="77" t="n">
        <v>5.2794</v>
      </c>
      <c r="C667" s="76" t="n">
        <v>403.74</v>
      </c>
      <c r="D667" s="76" t="n">
        <v>402.98</v>
      </c>
    </row>
    <row r="668">
      <c r="A668" s="76" t="n">
        <v>317.26</v>
      </c>
      <c r="B668" s="77" t="n">
        <v>5.2877</v>
      </c>
      <c r="C668" s="76" t="n">
        <v>403.71</v>
      </c>
      <c r="D668" s="76" t="n">
        <v>402.95</v>
      </c>
    </row>
    <row r="669">
      <c r="A669" s="76" t="n">
        <v>318.26</v>
      </c>
      <c r="B669" s="77" t="n">
        <v>5.3044</v>
      </c>
      <c r="C669" s="76" t="n">
        <v>403.63</v>
      </c>
      <c r="D669" s="76" t="n">
        <v>402.87</v>
      </c>
    </row>
    <row r="670">
      <c r="A670" s="76" t="n">
        <v>318.76</v>
      </c>
      <c r="B670" s="77" t="n">
        <v>5.3127</v>
      </c>
      <c r="C670" s="76" t="n">
        <v>403.6</v>
      </c>
      <c r="D670" s="76" t="n">
        <v>402.84</v>
      </c>
    </row>
    <row r="671">
      <c r="A671" s="76" t="n">
        <v>319.76</v>
      </c>
      <c r="B671" s="77" t="n">
        <v>5.3293</v>
      </c>
      <c r="C671" s="76" t="n">
        <v>403.52</v>
      </c>
      <c r="D671" s="76" t="n">
        <v>402.76</v>
      </c>
    </row>
    <row r="672">
      <c r="A672" s="76" t="n">
        <v>320.26</v>
      </c>
      <c r="B672" s="77" t="n">
        <v>5.3376</v>
      </c>
      <c r="C672" s="76" t="n">
        <v>403.48</v>
      </c>
      <c r="D672" s="76" t="n">
        <v>402.72</v>
      </c>
    </row>
    <row r="673">
      <c r="A673" s="76" t="n">
        <v>321.26</v>
      </c>
      <c r="B673" s="77" t="n">
        <v>5.3543</v>
      </c>
      <c r="C673" s="76" t="n">
        <v>403.41</v>
      </c>
      <c r="D673" s="76" t="n">
        <v>402.65</v>
      </c>
    </row>
    <row r="674">
      <c r="A674" s="76" t="n">
        <v>321.75</v>
      </c>
      <c r="B674" s="77" t="n">
        <v>5.3626</v>
      </c>
      <c r="C674" s="76" t="n">
        <v>403.37</v>
      </c>
      <c r="D674" s="76" t="n">
        <v>402.61</v>
      </c>
    </row>
    <row r="675">
      <c r="A675" s="76" t="n">
        <v>322.25</v>
      </c>
      <c r="B675" s="77" t="n">
        <v>5.3709</v>
      </c>
      <c r="C675" s="76" t="n">
        <v>403.34</v>
      </c>
      <c r="D675" s="76" t="n">
        <v>402.58</v>
      </c>
    </row>
    <row r="676">
      <c r="A676" s="76" t="n">
        <v>322.75</v>
      </c>
      <c r="B676" s="77" t="n">
        <v>5.3792</v>
      </c>
      <c r="C676" s="76" t="n">
        <v>403.3</v>
      </c>
      <c r="D676" s="76" t="n">
        <v>402.54</v>
      </c>
    </row>
    <row r="677">
      <c r="A677" s="76" t="n">
        <v>323.75</v>
      </c>
      <c r="B677" s="77" t="n">
        <v>5.3959</v>
      </c>
      <c r="C677" s="76" t="n">
        <v>403.22</v>
      </c>
      <c r="D677" s="76" t="n">
        <v>402.46</v>
      </c>
    </row>
    <row r="678">
      <c r="A678" s="76" t="n">
        <v>324.25</v>
      </c>
      <c r="B678" s="77" t="n">
        <v>5.4042</v>
      </c>
      <c r="C678" s="76" t="n">
        <v>403.19</v>
      </c>
      <c r="D678" s="76" t="n">
        <v>402.43</v>
      </c>
    </row>
    <row r="679">
      <c r="A679" s="76" t="n">
        <v>325.25</v>
      </c>
      <c r="B679" s="77" t="n">
        <v>5.4208</v>
      </c>
      <c r="C679" s="76" t="n">
        <v>403.11</v>
      </c>
      <c r="D679" s="76" t="n">
        <v>402.35</v>
      </c>
    </row>
    <row r="680">
      <c r="A680" s="76" t="n">
        <v>325.75</v>
      </c>
      <c r="B680" s="77" t="n">
        <v>5.4291</v>
      </c>
      <c r="C680" s="76" t="n">
        <v>403.08</v>
      </c>
      <c r="D680" s="76" t="n">
        <v>402.32</v>
      </c>
    </row>
    <row r="681">
      <c r="A681" s="76" t="n">
        <v>326.75</v>
      </c>
      <c r="B681" s="77" t="n">
        <v>5.4458</v>
      </c>
      <c r="C681" s="76" t="n">
        <v>403</v>
      </c>
      <c r="D681" s="76" t="n">
        <v>402.24</v>
      </c>
    </row>
    <row r="682">
      <c r="A682" s="76" t="n">
        <v>327.24</v>
      </c>
      <c r="B682" s="77" t="n">
        <v>5.4541</v>
      </c>
      <c r="C682" s="76" t="n">
        <v>402.96</v>
      </c>
      <c r="D682" s="76" t="n">
        <v>402.21</v>
      </c>
    </row>
    <row r="683">
      <c r="A683" s="76" t="n">
        <v>328.24</v>
      </c>
      <c r="B683" s="77" t="n">
        <v>5.4707</v>
      </c>
      <c r="C683" s="76" t="n">
        <v>402.89</v>
      </c>
      <c r="D683" s="76" t="n">
        <v>402.13</v>
      </c>
    </row>
    <row r="684">
      <c r="A684" s="76" t="n">
        <v>328.74</v>
      </c>
      <c r="B684" s="77" t="n">
        <v>5.479</v>
      </c>
      <c r="C684" s="76" t="n">
        <v>402.85</v>
      </c>
      <c r="D684" s="76" t="n">
        <v>402.09</v>
      </c>
    </row>
    <row r="685">
      <c r="A685" s="76" t="n">
        <v>329.74</v>
      </c>
      <c r="B685" s="77" t="n">
        <v>5.4957</v>
      </c>
      <c r="C685" s="76" t="n">
        <v>402.78</v>
      </c>
      <c r="D685" s="76" t="n">
        <v>402.02</v>
      </c>
    </row>
    <row r="686">
      <c r="A686" s="76" t="n">
        <v>330.24</v>
      </c>
      <c r="B686" s="77" t="n">
        <v>5.504</v>
      </c>
      <c r="C686" s="76" t="n">
        <v>402.74</v>
      </c>
      <c r="D686" s="76" t="n">
        <v>401.98</v>
      </c>
    </row>
    <row r="687">
      <c r="A687" s="76" t="n">
        <v>331.24</v>
      </c>
      <c r="B687" s="77" t="n">
        <v>5.5206</v>
      </c>
      <c r="C687" s="76" t="n">
        <v>402.67</v>
      </c>
      <c r="D687" s="76" t="n">
        <v>401.91</v>
      </c>
    </row>
    <row r="688">
      <c r="A688" s="76" t="n">
        <v>331.74</v>
      </c>
      <c r="B688" s="77" t="n">
        <v>5.5289</v>
      </c>
      <c r="C688" s="76" t="n">
        <v>402.63</v>
      </c>
      <c r="D688" s="76" t="n">
        <v>401.87</v>
      </c>
    </row>
    <row r="689">
      <c r="A689" s="76" t="n">
        <v>332.73</v>
      </c>
      <c r="B689" s="77" t="n">
        <v>5.5456</v>
      </c>
      <c r="C689" s="76" t="n">
        <v>402.56</v>
      </c>
      <c r="D689" s="76" t="n">
        <v>401.8</v>
      </c>
    </row>
    <row r="690">
      <c r="A690" s="76" t="n">
        <v>333.23</v>
      </c>
      <c r="B690" s="77" t="n">
        <v>5.5539</v>
      </c>
      <c r="C690" s="76" t="n">
        <v>402.52</v>
      </c>
      <c r="D690" s="76" t="n">
        <v>401.76</v>
      </c>
    </row>
    <row r="691">
      <c r="A691" s="76" t="n">
        <v>334.23</v>
      </c>
      <c r="B691" s="77" t="n">
        <v>5.5705</v>
      </c>
      <c r="C691" s="76" t="n">
        <v>402.45</v>
      </c>
      <c r="D691" s="76" t="n">
        <v>401.69</v>
      </c>
    </row>
    <row r="692">
      <c r="A692" s="76" t="n">
        <v>334.73</v>
      </c>
      <c r="B692" s="77" t="n">
        <v>5.5788</v>
      </c>
      <c r="C692" s="76" t="n">
        <v>402.41</v>
      </c>
      <c r="D692" s="76" t="n">
        <v>401.65</v>
      </c>
    </row>
    <row r="693">
      <c r="A693" s="76" t="n">
        <v>335.73</v>
      </c>
      <c r="B693" s="77" t="n">
        <v>5.5955</v>
      </c>
      <c r="C693" s="76" t="n">
        <v>402.33</v>
      </c>
      <c r="D693" s="76" t="n">
        <v>401.58</v>
      </c>
    </row>
    <row r="694">
      <c r="A694" s="76" t="n">
        <v>336.23</v>
      </c>
      <c r="B694" s="77" t="n">
        <v>5.6038</v>
      </c>
      <c r="C694" s="76" t="n">
        <v>402.3</v>
      </c>
      <c r="D694" s="76" t="n">
        <v>401.54</v>
      </c>
    </row>
    <row r="695">
      <c r="A695" s="76" t="n">
        <v>337.23</v>
      </c>
      <c r="B695" s="77" t="n">
        <v>5.6204</v>
      </c>
      <c r="C695" s="76" t="n">
        <v>402.22</v>
      </c>
      <c r="D695" s="76" t="n">
        <v>401.47</v>
      </c>
    </row>
    <row r="696">
      <c r="A696" s="76" t="n">
        <v>337.72</v>
      </c>
      <c r="B696" s="77" t="n">
        <v>5.6287</v>
      </c>
      <c r="C696" s="76" t="n">
        <v>402.19</v>
      </c>
      <c r="D696" s="76" t="n">
        <v>401.43</v>
      </c>
    </row>
    <row r="697">
      <c r="A697" s="76" t="n">
        <v>338.72</v>
      </c>
      <c r="B697" s="77" t="n">
        <v>5.6454</v>
      </c>
      <c r="C697" s="76" t="n">
        <v>402.11</v>
      </c>
      <c r="D697" s="76" t="n">
        <v>401.36</v>
      </c>
    </row>
    <row r="698">
      <c r="A698" s="76" t="n">
        <v>339.22</v>
      </c>
      <c r="B698" s="77" t="n">
        <v>5.6537</v>
      </c>
      <c r="C698" s="76" t="n">
        <v>402.08</v>
      </c>
      <c r="D698" s="76" t="n">
        <v>401.32</v>
      </c>
    </row>
    <row r="699">
      <c r="A699" s="76" t="n">
        <v>340.22</v>
      </c>
      <c r="B699" s="77" t="n">
        <v>5.6703</v>
      </c>
      <c r="C699" s="76" t="n">
        <v>402</v>
      </c>
      <c r="D699" s="76" t="n">
        <v>401.25</v>
      </c>
    </row>
    <row r="700">
      <c r="A700" s="76" t="n">
        <v>340.72</v>
      </c>
      <c r="B700" s="77" t="n">
        <v>5.6786</v>
      </c>
      <c r="C700" s="76" t="n">
        <v>401.96</v>
      </c>
      <c r="D700" s="76" t="n">
        <v>401.21</v>
      </c>
    </row>
    <row r="701">
      <c r="A701" s="76" t="n">
        <v>341.72</v>
      </c>
      <c r="B701" s="77" t="n">
        <v>5.6953</v>
      </c>
      <c r="C701" s="76" t="n">
        <v>401.89</v>
      </c>
      <c r="D701" s="76" t="n">
        <v>401.14</v>
      </c>
    </row>
    <row r="702">
      <c r="A702" s="76" t="n">
        <v>342.22</v>
      </c>
      <c r="B702" s="77" t="n">
        <v>5.7036</v>
      </c>
      <c r="C702" s="76" t="n">
        <v>401.85</v>
      </c>
      <c r="D702" s="76" t="n">
        <v>401.1</v>
      </c>
    </row>
    <row r="703">
      <c r="A703" s="76" t="n">
        <v>343.21</v>
      </c>
      <c r="B703" s="77" t="n">
        <v>5.7202</v>
      </c>
      <c r="C703" s="76" t="n">
        <v>401.78</v>
      </c>
      <c r="D703" s="76" t="n">
        <v>401.02</v>
      </c>
    </row>
  </sheetData>
  <printOptions horizontalCentered="1"/>
  <pageMargins left="0.5" right="0.5" top="0.6" bottom="0.7" header="0.3" footer="0.3"/>
  <pageSetup orientation="portrait" paperSize="9" fitToHeight="0" fitToWidth="1"/>
  <headerFooter>
    <oddHeader/>
    <oddFooter>&amp;L&amp;"Arial,Regular"&amp;8 Diagrammdaten&amp;R&amp;"Arial,Regular"&amp;8 Seite &amp;P von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Freiformschmieden-Rechner 1.5</dc:creator>
  <dc:title>Stichplan EN AW-6082</dc:title>
  <dc:subject>Stichplan Freiformschmieden</dc:subject>
  <dcterms:created xsi:type="dcterms:W3CDTF">2026-10-15T07:05:08Z</dcterms:created>
  <dcterms:modified xsi:type="dcterms:W3CDTF">2026-10-15T07:05:08Z</dcterms:modified>
</cp:coreProperties>
</file>